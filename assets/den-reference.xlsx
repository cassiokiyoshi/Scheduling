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6.01" sheetId="1" r:id="rId5"/>
    <sheet state="hidden" name="26.02" sheetId="2" r:id="rId6"/>
    <sheet state="hidden" name="26.03" sheetId="3" r:id="rId7"/>
    <sheet state="hidden" name="26.04" sheetId="4" r:id="rId8"/>
    <sheet state="hidden" name="26.05" sheetId="5" r:id="rId9"/>
    <sheet state="hidden" name="26.06" sheetId="6" r:id="rId10"/>
    <sheet state="hidden" name="26.07" sheetId="7" r:id="rId11"/>
    <sheet state="visible" name="26.08" sheetId="8" r:id="rId12"/>
    <sheet state="visible" name="26.09" sheetId="9" r:id="rId13"/>
  </sheets>
  <definedNames/>
  <calcPr/>
</workbook>
</file>

<file path=xl/sharedStrings.xml><?xml version="1.0" encoding="utf-8"?>
<sst xmlns="http://schemas.openxmlformats.org/spreadsheetml/2006/main" count="2192" uniqueCount="212">
  <si>
    <t xml:space="preserve"> </t>
  </si>
  <si>
    <t>ｘｘ</t>
  </si>
  <si>
    <t>MON</t>
  </si>
  <si>
    <t>TUE</t>
  </si>
  <si>
    <t>WED</t>
  </si>
  <si>
    <t>THU</t>
  </si>
  <si>
    <t>FRI</t>
  </si>
  <si>
    <t>SAT</t>
  </si>
  <si>
    <t>SUN</t>
  </si>
  <si>
    <t>シーツ配送は
月水金</t>
  </si>
  <si>
    <t>シーツ配送は
火木土</t>
  </si>
  <si>
    <t>下記の時間はシャワーを含む全てのクリーニングを終わらせている前提</t>
  </si>
  <si>
    <t>front 10-19</t>
  </si>
  <si>
    <t>DAVID</t>
  </si>
  <si>
    <t>ZAC</t>
  </si>
  <si>
    <t>HAYATO</t>
  </si>
  <si>
    <t>KENTARO</t>
  </si>
  <si>
    <t>ベドメ1人5個の場合：13時30分まで</t>
  </si>
  <si>
    <t>front help</t>
  </si>
  <si>
    <t>Tallula</t>
  </si>
  <si>
    <t>MIU</t>
  </si>
  <si>
    <t>べドメ1人10個の場合：14時30分まで</t>
  </si>
  <si>
    <t>memo</t>
  </si>
  <si>
    <t>bedmake 22+1</t>
  </si>
  <si>
    <t>フレンチトースト
23 bed making</t>
  </si>
  <si>
    <t>べドメ1人15個の場合：15時まで</t>
  </si>
  <si>
    <t>Clean A</t>
  </si>
  <si>
    <t>MIU 23階C研修
21+1</t>
  </si>
  <si>
    <t>MIU F研修
カシオルーム整理
19</t>
  </si>
  <si>
    <t>20+1</t>
  </si>
  <si>
    <t>MIO(O)</t>
  </si>
  <si>
    <t>RYOTA</t>
  </si>
  <si>
    <t>SHUN</t>
  </si>
  <si>
    <t>SUZU</t>
  </si>
  <si>
    <t>Total</t>
  </si>
  <si>
    <t>HIKARU B</t>
  </si>
  <si>
    <t>F</t>
  </si>
  <si>
    <t>C</t>
  </si>
  <si>
    <t>N</t>
  </si>
  <si>
    <t>フリー宿泊</t>
  </si>
  <si>
    <t>ボーナス宿泊</t>
  </si>
  <si>
    <t>使用済み</t>
  </si>
  <si>
    <t>残り</t>
  </si>
  <si>
    <t>Clean B</t>
  </si>
  <si>
    <t>Cassio</t>
  </si>
  <si>
    <t>Yuto</t>
  </si>
  <si>
    <t>MIO(T)</t>
  </si>
  <si>
    <t>MIKI</t>
  </si>
  <si>
    <t>clean help</t>
  </si>
  <si>
    <t>Mana</t>
  </si>
  <si>
    <t>Anaelle</t>
  </si>
  <si>
    <t>2月全部お休み</t>
  </si>
  <si>
    <t>宿直(19-10)</t>
  </si>
  <si>
    <t>HIKARU Girl</t>
  </si>
  <si>
    <t>Shoma</t>
  </si>
  <si>
    <t>2/27-3/16までインド</t>
  </si>
  <si>
    <t>10+1</t>
  </si>
  <si>
    <t>9+1</t>
  </si>
  <si>
    <t>7+1</t>
  </si>
  <si>
    <t>22+1</t>
  </si>
  <si>
    <t>KEI</t>
  </si>
  <si>
    <t>３月に戻ってくる</t>
  </si>
  <si>
    <t>LUNA</t>
  </si>
  <si>
    <t>フレンチトースト</t>
  </si>
  <si>
    <t>Lunaさん interview 
17-18</t>
  </si>
  <si>
    <t>フレンチトーストラン</t>
  </si>
  <si>
    <t>4Aハードクリーン
5Aハードクリーン</t>
  </si>
  <si>
    <t>RENTO</t>
  </si>
  <si>
    <t>筐体稼働開始
２階、３階、４階
のWIFI稼働確認
3Bハードクリーン
5Cハードクリーン</t>
  </si>
  <si>
    <t>既存のWiFi解約へ、
TTが動くか確認</t>
  </si>
  <si>
    <t>鍵依頼やりたし</t>
  </si>
  <si>
    <t>ランニングフレンチトースト</t>
  </si>
  <si>
    <t>MIREI</t>
  </si>
  <si>
    <t>Victor</t>
  </si>
  <si>
    <t>HIKARU G</t>
  </si>
  <si>
    <t>2月末で終了</t>
  </si>
  <si>
    <t>HIKARU BOY</t>
  </si>
  <si>
    <t>会議
11</t>
  </si>
  <si>
    <t>ざっくさん病院
13</t>
  </si>
  <si>
    <t>MOMIJI</t>
  </si>
  <si>
    <t>9+1
14-手間要らず</t>
  </si>
  <si>
    <t>13- 
クラシアン2階清掃</t>
  </si>
  <si>
    <t>けんたろう通い
スタート</t>
  </si>
  <si>
    <t>24+1
Miki 1時上がり</t>
  </si>
  <si>
    <t>11-12 エレベーター点検
3Cハードクリーン</t>
  </si>
  <si>
    <t>DEN NEWパーカー到着予定
スノボワッペン到着予定
5Bハードクリーン</t>
  </si>
  <si>
    <t>mana till 2pm</t>
  </si>
  <si>
    <t>←10-15</t>
  </si>
  <si>
    <t>2/13で終了</t>
  </si>
  <si>
    <t>会議
14</t>
  </si>
  <si>
    <t>10
ざっく
はなれイベント</t>
  </si>
  <si>
    <t>25
ご飯会</t>
  </si>
  <si>
    <t xml:space="preserve">Front </t>
  </si>
  <si>
    <t>9
11- オゾン
メンテなんす</t>
  </si>
  <si>
    <t>会議
8</t>
  </si>
  <si>
    <t>2月13で終了</t>
  </si>
  <si>
    <t>4月からはいる予定</t>
  </si>
  <si>
    <t>12+1</t>
  </si>
  <si>
    <t>会議なし</t>
  </si>
  <si>
    <t>10+1
19-会議</t>
  </si>
  <si>
    <t>10
ザックさん横浜でDJ</t>
  </si>
  <si>
    <t>19
映画イベント視察</t>
  </si>
  <si>
    <t>白馬スノボ</t>
  </si>
  <si>
    <t>白馬スノボ
こんどうれいさんキャッチアップ</t>
  </si>
  <si>
    <t>19:30- 
日本酒イベント
ビクターさん17時</t>
  </si>
  <si>
    <t>磯野すずさん面談
14:00-</t>
  </si>
  <si>
    <t>17
フレンチトーストラン</t>
  </si>
  <si>
    <t>16+1</t>
  </si>
  <si>
    <t>15
フレンチトーストラン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</si>
  <si>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</si>
  <si>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5Cハードクリーン
</t>
  </si>
  <si>
    <t>2/1からモバWiFi稼働開始
こんどうれいさん面談</t>
  </si>
  <si>
    <t>23
けんたろう新居から</t>
  </si>
  <si>
    <t>miu</t>
  </si>
  <si>
    <t>D</t>
  </si>
  <si>
    <t>6/11-23 いない</t>
  </si>
  <si>
    <t>23
会議なし</t>
  </si>
  <si>
    <t>11
10-シャワー工事</t>
  </si>
  <si>
    <t>ひかるボーイ12時から</t>
  </si>
  <si>
    <t>14
Hayato 11-12 いない
ざっく病院</t>
  </si>
  <si>
    <t>6
会議</t>
  </si>
  <si>
    <t>24
zac NG</t>
  </si>
  <si>
    <t>SHO</t>
  </si>
  <si>
    <t>会議</t>
  </si>
  <si>
    <t>13-30-15:00
消火設備点検</t>
  </si>
  <si>
    <t xml:space="preserve">
会議</t>
  </si>
  <si>
    <t>Toshiki event</t>
  </si>
  <si>
    <t>julyから忙しい</t>
  </si>
  <si>
    <t>Elevator inspection</t>
  </si>
  <si>
    <t>ザック夜外出</t>
  </si>
  <si>
    <t>ザックDJ</t>
  </si>
  <si>
    <t>Clean A
10-15</t>
  </si>
  <si>
    <t>Clean B
10-15</t>
  </si>
  <si>
    <t>AYU</t>
  </si>
  <si>
    <t>July忙しい</t>
  </si>
  <si>
    <t>22
がっくんイベ</t>
  </si>
  <si>
    <t>3
配管工事</t>
  </si>
  <si>
    <t>2
15:30-Ayumuくん面談</t>
  </si>
  <si>
    <t>1
はなれ翔ちゃん貸切</t>
  </si>
  <si>
    <t>end of july finish</t>
  </si>
  <si>
    <t>clean help
10-15</t>
  </si>
  <si>
    <t>Night(19-10)</t>
  </si>
  <si>
    <t>７末からいない</t>
  </si>
  <si>
    <t>1130-ざっく病院</t>
  </si>
  <si>
    <t>ボードゲーム会</t>
  </si>
  <si>
    <t>コンプレと</t>
  </si>
  <si>
    <t>はやとBBQイベ</t>
  </si>
  <si>
    <t>13th of july finish</t>
  </si>
  <si>
    <t>0
バド</t>
  </si>
  <si>
    <t>バモいべんと
4</t>
  </si>
  <si>
    <t>カナダニキ</t>
  </si>
  <si>
    <t>なんかいない</t>
  </si>
  <si>
    <t>1
ざっくNG</t>
  </si>
  <si>
    <t>産業廃棄物</t>
  </si>
  <si>
    <t>15-17バド</t>
  </si>
  <si>
    <t>はなれボドゲ会</t>
  </si>
  <si>
    <t>1
バド</t>
  </si>
  <si>
    <t>DEN作戦会議</t>
  </si>
  <si>
    <t>make CI script (ken)</t>
  </si>
  <si>
    <t>7/1にバイト会議 19-</t>
  </si>
  <si>
    <t>最初は１ヶ月おきぐらい</t>
  </si>
  <si>
    <t>テニヌ</t>
  </si>
  <si>
    <t>オゾンメンテナンス</t>
  </si>
  <si>
    <t>はやとバースデー</t>
  </si>
  <si>
    <t>14-はなれ工事</t>
  </si>
  <si>
    <t>Mu-Cheng Lee interview at 2pm</t>
  </si>
  <si>
    <t>ハMatcha ヤEventト
momiji -13時
19- hotdog event</t>
  </si>
  <si>
    <t>8/5にバイト会議 19-</t>
  </si>
  <si>
    <t>ZERA</t>
  </si>
  <si>
    <t>Filip</t>
  </si>
  <si>
    <t>19:00 Gyoza making event  (if people are here)</t>
  </si>
  <si>
    <t>Night training</t>
  </si>
  <si>
    <t>18:00 Dinner Party</t>
  </si>
  <si>
    <t>しげともきエデン</t>
  </si>
  <si>
    <t>毎月第一水曜にバイト会議 19-</t>
  </si>
  <si>
    <t>zac go out at night</t>
  </si>
  <si>
    <t>しげふみはなれの作業</t>
  </si>
  <si>
    <t>15- りょうたフレンズ
zac in ATM (4th-6th)</t>
  </si>
  <si>
    <t>zac in ATM (4th-6th)
Filip will move to 2B-D?</t>
  </si>
  <si>
    <t>zac in ATM (4th-6th)</t>
  </si>
  <si>
    <t>社員事務作業</t>
  </si>
  <si>
    <t>Clean A 10-15</t>
  </si>
  <si>
    <t>MEMO for shift</t>
  </si>
  <si>
    <t>Free stay</t>
  </si>
  <si>
    <t>Used</t>
  </si>
  <si>
    <t>Rest</t>
  </si>
  <si>
    <t>-</t>
  </si>
  <si>
    <t>CN</t>
  </si>
  <si>
    <t>9月中旬ぐらいまでぃそがしぃ</t>
  </si>
  <si>
    <t>CFN</t>
  </si>
  <si>
    <t xml:space="preserve">8 days </t>
  </si>
  <si>
    <t>10/15-いない</t>
  </si>
  <si>
    <t>The more the merrier</t>
  </si>
  <si>
    <t>10末で終了</t>
  </si>
  <si>
    <t>9月から住み込み</t>
  </si>
  <si>
    <t>JUN</t>
  </si>
  <si>
    <t>週3ぐらい！</t>
  </si>
  <si>
    <t>1,2days per week</t>
  </si>
  <si>
    <t>可能な限り多くお願いします！</t>
  </si>
  <si>
    <t>お疲れ様です。来月も学業を優先したいため10月からシフト入りを希望します。お忙しい時期に入れずすみません。よろしくお願いします。</t>
  </si>
  <si>
    <t>9月はお休み</t>
  </si>
  <si>
    <t>後期の授業スケジュールが出ていないので、一旦わかる範囲で提出させていただきました。</t>
  </si>
  <si>
    <t>15~20 days per month, can be discussed</t>
  </si>
  <si>
    <t xml:space="preserve">DJ </t>
  </si>
  <si>
    <t>13- はなれ作業日
14-2階トイレ修理</t>
  </si>
  <si>
    <t>10時から水道工事</t>
  </si>
  <si>
    <t>zera diy event</t>
  </si>
  <si>
    <t>DJ Event 5pm-</t>
  </si>
  <si>
    <t>COCO</t>
  </si>
  <si>
    <t>9/13ぐらいまでいるかも</t>
  </si>
  <si>
    <t>CF</t>
  </si>
  <si>
    <t>はなれ作業日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</si>
</sst>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-d"/>
  </numFmts>
  <fonts count="47">
    <font>
      <sz val="10.0"/>
      <color rgb="FF000000"/>
      <name val="Arial"/>
      <scheme val="minor"/>
    </font>
    <font>
      <sz val="10.0"/>
      <color rgb="FF000000"/>
      <name val="游ゴシック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b/>
      <color rgb="FFFFFFFF"/>
      <name val="Arial"/>
    </font>
    <font>
      <sz val="15.0"/>
      <color rgb="FFFFFFFF"/>
      <name val="Impact"/>
    </font>
    <font>
      <color rgb="FFFFFFFF"/>
      <name val="Arial"/>
    </font>
    <font>
      <sz val="15.0"/>
      <color rgb="FFFFFFFF"/>
      <name val="Bree Serif"/>
    </font>
    <font>
      <sz val="14.0"/>
      <color rgb="FFEA4335"/>
      <name val="Arial"/>
    </font>
    <font>
      <sz val="14.0"/>
      <color rgb="FF00FFFF"/>
      <name val="Arial"/>
      <scheme val="minor"/>
    </font>
    <font>
      <sz val="11.0"/>
      <color theme="1"/>
      <name val="Arial"/>
      <scheme val="minor"/>
    </font>
    <font>
      <color theme="1"/>
      <name val="Roboto"/>
    </font>
    <font>
      <b/>
      <sz val="11.0"/>
      <color rgb="FFFF9900"/>
      <name val="Merriweather Sans"/>
    </font>
    <font>
      <sz val="15.0"/>
      <color theme="1"/>
      <name val="Arial"/>
    </font>
    <font>
      <b/>
      <color theme="1"/>
      <name val="Arial"/>
      <scheme val="minor"/>
    </font>
    <font>
      <b/>
      <sz val="13.0"/>
      <color rgb="FFFF6D01"/>
      <name val="Arial"/>
      <scheme val="minor"/>
    </font>
    <font>
      <b/>
      <sz val="15.0"/>
      <color rgb="FFFFFF00"/>
      <name val="Arial"/>
    </font>
    <font>
      <sz val="12.0"/>
      <color rgb="FF4A86E8"/>
      <name val="Comfortaa"/>
    </font>
    <font>
      <sz val="15.0"/>
      <color rgb="FFFFFF00"/>
      <name val="Lobster"/>
    </font>
    <font>
      <b/>
      <sz val="15.0"/>
      <color rgb="FFFFFFFF"/>
      <name val="Arial"/>
      <scheme val="minor"/>
    </font>
    <font>
      <b/>
      <i/>
      <sz val="13.0"/>
      <color rgb="FFFF00FF"/>
      <name val="Comic Sans MS"/>
    </font>
    <font>
      <b/>
      <sz val="15.0"/>
      <color rgb="FFFF9900"/>
      <name val="Arial"/>
    </font>
    <font>
      <b/>
      <sz val="13.0"/>
      <color rgb="FF6AA84F"/>
      <name val="Arial"/>
      <scheme val="minor"/>
    </font>
    <font>
      <sz val="10.0"/>
      <color theme="1"/>
      <name val="Arial"/>
      <scheme val="minor"/>
    </font>
    <font>
      <sz val="12.0"/>
      <color theme="5"/>
      <name val="Permanent Marker"/>
    </font>
    <font>
      <sz val="15.0"/>
      <color theme="1"/>
      <name val="Comic Sans MS"/>
    </font>
    <font>
      <b/>
      <sz val="13.0"/>
      <color rgb="FF00FF00"/>
      <name val="Arial"/>
      <scheme val="minor"/>
    </font>
    <font>
      <b/>
      <i/>
      <sz val="13.0"/>
      <color rgb="FF0000FF"/>
      <name val="Comic Sans MS"/>
    </font>
    <font>
      <b/>
      <sz val="12.0"/>
      <color rgb="FF00FFFF"/>
      <name val="Ubuntu"/>
    </font>
    <font>
      <sz val="20.0"/>
      <color theme="1"/>
      <name val="Arial"/>
      <scheme val="minor"/>
    </font>
    <font>
      <color theme="1"/>
      <name val="Calibri"/>
    </font>
    <font>
      <sz val="9.0"/>
      <color rgb="FF000000"/>
      <name val="&quot;Google Sans Mono&quot;"/>
    </font>
    <font>
      <color rgb="FF000000"/>
      <name val="Roboto"/>
    </font>
    <font>
      <sz val="12.0"/>
      <color theme="1"/>
      <name val="Arial"/>
    </font>
    <font>
      <b/>
      <sz val="13.0"/>
      <color rgb="FFFF9900"/>
      <name val="Arial"/>
      <scheme val="minor"/>
    </font>
    <font>
      <sz val="13.0"/>
      <color theme="1"/>
      <name val="Arial"/>
    </font>
    <font>
      <sz val="13.0"/>
      <color rgb="FFFFFFFF"/>
      <name val="Bree Serif"/>
    </font>
    <font>
      <b/>
      <sz val="13.0"/>
      <color rgb="FFFFFFFF"/>
      <name val="Arial"/>
    </font>
    <font>
      <sz val="13.0"/>
      <color rgb="FF4A86E8"/>
      <name val="Comfortaa"/>
    </font>
    <font>
      <sz val="13.0"/>
      <color rgb="FFFFFFFF"/>
      <name val="Arial"/>
    </font>
    <font>
      <b/>
      <sz val="13.0"/>
      <color rgb="FFFF9900"/>
      <name val="Merriweather Sans"/>
    </font>
    <font>
      <sz val="13.0"/>
      <color theme="5"/>
      <name val="Permanent Marker"/>
    </font>
    <font>
      <sz val="14.0"/>
      <color theme="0"/>
      <name val="Impact"/>
    </font>
    <font>
      <sz val="14.0"/>
      <color rgb="FFFFBCF1"/>
      <name val="Impact"/>
    </font>
    <font>
      <sz val="14.0"/>
      <color rgb="FFFFFFFF"/>
      <name val="Impact"/>
    </font>
    <font>
      <sz val="14.0"/>
      <color rgb="FF00FF00"/>
      <name val="Impact"/>
    </font>
  </fonts>
  <fills count="2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AB3AF6"/>
        <bgColor rgb="FFAB3AF6"/>
      </patternFill>
    </fill>
    <fill>
      <patternFill patternType="solid">
        <fgColor rgb="FFEA4335"/>
        <bgColor rgb="FFEA4335"/>
      </patternFill>
    </fill>
    <fill>
      <patternFill patternType="solid">
        <fgColor rgb="FF000000"/>
        <bgColor rgb="FF000000"/>
      </patternFill>
    </fill>
    <fill>
      <patternFill patternType="solid">
        <fgColor rgb="FFFFBCF1"/>
        <bgColor rgb="FFFFBCF1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FBBC04"/>
        <bgColor rgb="FFFBBC04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39CF61"/>
        <bgColor rgb="FF39CF61"/>
      </patternFill>
    </fill>
    <fill>
      <patternFill patternType="solid">
        <fgColor rgb="FF00FFFF"/>
        <bgColor rgb="FF00FFFF"/>
      </patternFill>
    </fill>
    <fill>
      <patternFill patternType="solid">
        <fgColor rgb="FF32F393"/>
        <bgColor rgb="FF32F393"/>
      </patternFill>
    </fill>
    <fill>
      <patternFill patternType="solid">
        <fgColor rgb="FFFCE5CD"/>
        <bgColor rgb="FFFCE5CD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FFFFE1"/>
        <bgColor rgb="FFFFFFE1"/>
      </patternFill>
    </fill>
    <fill>
      <patternFill patternType="solid">
        <fgColor rgb="FFE1FAFF"/>
        <bgColor rgb="FFE1FAFF"/>
      </patternFill>
    </fill>
    <fill>
      <patternFill patternType="solid">
        <fgColor rgb="FFF0E1FF"/>
        <bgColor rgb="FFF0E1FF"/>
      </patternFill>
    </fill>
    <fill>
      <patternFill patternType="solid">
        <fgColor rgb="FF2F90FB"/>
        <bgColor rgb="FF2F90FB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FF9900"/>
      </left>
      <top style="thick">
        <color rgb="FFFF9900"/>
      </top>
    </border>
    <border>
      <top style="thick">
        <color rgb="FFFF9900"/>
      </top>
    </border>
    <border>
      <right style="thick">
        <color rgb="FFFF9900"/>
      </right>
      <top style="thick">
        <color rgb="FFFF9900"/>
      </top>
    </border>
    <border>
      <left style="thick">
        <color rgb="FFFF9900"/>
      </left>
    </border>
    <border>
      <right style="thick">
        <color rgb="FFFF9900"/>
      </right>
    </border>
    <border>
      <left style="thick">
        <color rgb="FFFF9900"/>
      </left>
      <bottom style="thick">
        <color rgb="FFFF9900"/>
      </bottom>
    </border>
    <border>
      <bottom style="thick">
        <color rgb="FFFF9900"/>
      </bottom>
    </border>
    <border>
      <right style="thick">
        <color rgb="FFFF9900"/>
      </right>
      <bottom style="thick">
        <color rgb="FFFF99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/>
    </xf>
    <xf borderId="1" fillId="2" fontId="3" numFmtId="164" xfId="0" applyAlignment="1" applyBorder="1" applyFill="1" applyFont="1" applyNumberFormat="1">
      <alignment horizontal="center" readingOrder="0"/>
    </xf>
    <xf borderId="1" fillId="3" fontId="3" numFmtId="164" xfId="0" applyAlignment="1" applyBorder="1" applyFill="1" applyFont="1" applyNumberFormat="1">
      <alignment horizontal="center" readingOrder="0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1" fillId="4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5" fontId="5" numFmtId="0" xfId="0" applyAlignment="1" applyFill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2" fillId="6" fontId="7" numFmtId="0" xfId="0" applyAlignment="1" applyBorder="1" applyFill="1" applyFon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9" fontId="10" numFmtId="0" xfId="0" applyAlignment="1" applyFill="1" applyFont="1">
      <alignment horizontal="center" readingOrder="0"/>
    </xf>
    <xf borderId="0" fillId="0" fontId="11" numFmtId="0" xfId="0" applyAlignment="1" applyFont="1">
      <alignment horizontal="left" readingOrder="0" shrinkToFit="0" wrapText="1"/>
    </xf>
    <xf borderId="1" fillId="10" fontId="2" numFmtId="0" xfId="0" applyAlignment="1" applyBorder="1" applyFill="1" applyFont="1">
      <alignment horizontal="center" readingOrder="0"/>
    </xf>
    <xf borderId="1" fillId="11" fontId="12" numFmtId="0" xfId="0" applyAlignment="1" applyBorder="1" applyFill="1" applyFont="1">
      <alignment horizontal="center" shrinkToFit="0" vertical="bottom" wrapText="1"/>
    </xf>
    <xf borderId="3" fillId="0" fontId="4" numFmtId="0" xfId="0" applyBorder="1" applyFont="1"/>
    <xf borderId="0" fillId="12" fontId="13" numFmtId="0" xfId="0" applyAlignment="1" applyFill="1" applyFont="1">
      <alignment horizontal="center" vertical="bottom"/>
    </xf>
    <xf borderId="1" fillId="13" fontId="14" numFmtId="0" xfId="0" applyAlignment="1" applyBorder="1" applyFill="1" applyFont="1">
      <alignment horizontal="center" vertical="bottom"/>
    </xf>
    <xf borderId="4" fillId="0" fontId="15" numFmtId="0" xfId="0" applyAlignment="1" applyBorder="1" applyFont="1">
      <alignment readingOrder="0"/>
    </xf>
    <xf borderId="0" fillId="14" fontId="16" numFmtId="0" xfId="0" applyAlignment="1" applyFill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0" fillId="15" fontId="17" numFmtId="0" xfId="0" applyAlignment="1" applyFill="1" applyFont="1">
      <alignment horizontal="center" readingOrder="0" vertical="bottom"/>
    </xf>
    <xf borderId="4" fillId="0" fontId="11" numFmtId="0" xfId="0" applyAlignment="1" applyBorder="1" applyFont="1">
      <alignment horizontal="left" readingOrder="0" shrinkToFit="0" wrapText="1"/>
    </xf>
    <xf borderId="5" fillId="0" fontId="11" numFmtId="0" xfId="0" applyAlignment="1" applyBorder="1" applyFont="1">
      <alignment horizontal="left" readingOrder="0"/>
    </xf>
    <xf borderId="1" fillId="16" fontId="14" numFmtId="0" xfId="0" applyAlignment="1" applyBorder="1" applyFill="1" applyFont="1">
      <alignment horizontal="center" vertical="bottom"/>
    </xf>
    <xf borderId="0" fillId="17" fontId="18" numFmtId="0" xfId="0" applyAlignment="1" applyFill="1" applyFont="1">
      <alignment horizontal="center" vertical="bottom"/>
    </xf>
    <xf borderId="0" fillId="18" fontId="19" numFmtId="0" xfId="0" applyAlignment="1" applyFill="1" applyFont="1">
      <alignment horizontal="center" vertical="bottom"/>
    </xf>
    <xf borderId="6" fillId="0" fontId="4" numFmtId="0" xfId="0" applyBorder="1" applyFont="1"/>
    <xf borderId="2" fillId="19" fontId="14" numFmtId="0" xfId="0" applyAlignment="1" applyBorder="1" applyFill="1" applyFont="1">
      <alignment horizontal="center" vertical="bottom"/>
    </xf>
    <xf borderId="0" fillId="0" fontId="11" numFmtId="0" xfId="0" applyAlignment="1" applyFont="1">
      <alignment horizontal="right" readingOrder="0" shrinkToFit="0" wrapText="1"/>
    </xf>
    <xf borderId="7" fillId="0" fontId="4" numFmtId="0" xfId="0" applyBorder="1" applyFont="1"/>
    <xf borderId="0" fillId="0" fontId="4" numFmtId="0" xfId="0" applyFont="1"/>
    <xf borderId="1" fillId="8" fontId="14" numFmtId="0" xfId="0" applyAlignment="1" applyBorder="1" applyFill="1" applyFont="1">
      <alignment horizontal="center" vertical="bottom"/>
    </xf>
    <xf borderId="0" fillId="8" fontId="20" numFmtId="0" xfId="0" applyAlignment="1" applyFill="1" applyFont="1">
      <alignment horizontal="center" readingOrder="0"/>
    </xf>
    <xf borderId="6" fillId="0" fontId="4" numFmtId="0" xfId="0" applyAlignment="1" applyBorder="1" applyFont="1">
      <alignment readingOrder="0"/>
    </xf>
    <xf borderId="0" fillId="20" fontId="21" numFmtId="0" xfId="0" applyAlignment="1" applyFill="1" applyFont="1">
      <alignment horizontal="center" vertical="bottom"/>
    </xf>
    <xf borderId="0" fillId="9" fontId="19" numFmtId="0" xfId="0" applyAlignment="1" applyFill="1" applyFont="1">
      <alignment horizontal="center" vertical="bottom"/>
    </xf>
    <xf borderId="0" fillId="21" fontId="22" numFmtId="0" xfId="0" applyAlignment="1" applyFill="1" applyFont="1">
      <alignment horizontal="center" vertical="bottom"/>
    </xf>
    <xf borderId="0" fillId="8" fontId="23" numFmtId="0" xfId="0" applyAlignment="1" applyFill="1" applyFont="1">
      <alignment horizontal="center" readingOrder="0"/>
    </xf>
    <xf borderId="0" fillId="0" fontId="24" numFmtId="0" xfId="0" applyFont="1"/>
    <xf borderId="0" fillId="13" fontId="25" numFmtId="0" xfId="0" applyAlignment="1" applyFill="1" applyFont="1">
      <alignment horizontal="center" readingOrder="0"/>
    </xf>
    <xf borderId="0" fillId="22" fontId="26" numFmtId="0" xfId="0" applyAlignment="1" applyFill="1" applyFont="1">
      <alignment horizontal="center" vertical="bottom"/>
    </xf>
    <xf borderId="0" fillId="23" fontId="27" numFmtId="0" xfId="0" applyAlignment="1" applyFill="1" applyFont="1">
      <alignment horizontal="center" readingOrder="0"/>
    </xf>
    <xf borderId="0" fillId="20" fontId="28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20" fontId="28" numFmtId="0" xfId="0" applyAlignment="1" applyFill="1" applyFont="1">
      <alignment horizontal="center" vertical="bottom"/>
    </xf>
    <xf borderId="0" fillId="15" fontId="17" numFmtId="0" xfId="0" applyAlignment="1" applyFill="1" applyFont="1">
      <alignment horizontal="center" vertical="bottom"/>
    </xf>
    <xf borderId="0" fillId="7" fontId="29" numFmtId="0" xfId="0" applyAlignment="1" applyFill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bottom" wrapText="0"/>
    </xf>
    <xf borderId="8" fillId="0" fontId="4" numFmtId="0" xfId="0" applyAlignment="1" applyBorder="1" applyFont="1">
      <alignment readingOrder="0"/>
    </xf>
    <xf borderId="9" fillId="0" fontId="4" numFmtId="0" xfId="0" applyBorder="1" applyFont="1"/>
    <xf borderId="10" fillId="0" fontId="4" numFmtId="0" xfId="0" applyBorder="1" applyFont="1"/>
    <xf borderId="0" fillId="0" fontId="2" numFmtId="0" xfId="0" applyAlignment="1" applyFont="1">
      <alignment horizontal="center" readingOrder="0"/>
    </xf>
    <xf borderId="0" fillId="12" fontId="13" numFmtId="0" xfId="0" applyAlignment="1" applyFill="1" applyFont="1">
      <alignment horizontal="center" vertical="bottom"/>
    </xf>
    <xf borderId="0" fillId="0" fontId="30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5" numFmtId="0" xfId="0" applyFont="1"/>
    <xf borderId="11" fillId="4" fontId="31" numFmtId="0" xfId="0" applyAlignment="1" applyBorder="1" applyFill="1" applyFont="1">
      <alignment vertical="bottom"/>
    </xf>
    <xf borderId="0" fillId="4" fontId="31" numFmtId="0" xfId="0" applyAlignment="1" applyFill="1" applyFont="1">
      <alignment vertical="bottom"/>
    </xf>
    <xf borderId="0" fillId="4" fontId="32" numFmtId="0" xfId="0" applyFill="1" applyFont="1"/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3" numFmtId="0" xfId="0" applyAlignment="1" applyFont="1">
      <alignment horizontal="center" readingOrder="0"/>
    </xf>
    <xf borderId="0" fillId="4" fontId="4" numFmtId="0" xfId="0" applyAlignment="1" applyFill="1" applyFont="1">
      <alignment readingOrder="0"/>
    </xf>
    <xf borderId="1" fillId="0" fontId="33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2" fillId="6" fontId="34" numFmtId="0" xfId="0" applyAlignment="1" applyBorder="1" applyFill="1" applyFont="1">
      <alignment horizontal="center"/>
    </xf>
    <xf borderId="0" fillId="20" fontId="35" numFmtId="0" xfId="0" applyAlignment="1" applyFill="1" applyFont="1">
      <alignment horizontal="center" readingOrder="0" vertical="center"/>
    </xf>
    <xf borderId="0" fillId="0" fontId="4" numFmtId="165" xfId="0" applyAlignment="1" applyFont="1" applyNumberFormat="1">
      <alignment readingOrder="0"/>
    </xf>
    <xf borderId="2" fillId="19" fontId="36" numFmtId="0" xfId="0" applyAlignment="1" applyBorder="1" applyFill="1" applyFont="1">
      <alignment horizontal="center" vertical="bottom"/>
    </xf>
    <xf borderId="0" fillId="7" fontId="37" numFmtId="0" xfId="0" applyAlignment="1" applyFill="1" applyFont="1">
      <alignment horizontal="center" vertical="bottom"/>
    </xf>
    <xf borderId="0" fillId="5" fontId="38" numFmtId="0" xfId="0" applyAlignment="1" applyFill="1" applyFont="1">
      <alignment horizontal="center" vertical="bottom"/>
    </xf>
    <xf borderId="0" fillId="17" fontId="39" numFmtId="0" xfId="0" applyAlignment="1" applyFill="1" applyFont="1">
      <alignment horizontal="center" vertical="bottom"/>
    </xf>
    <xf borderId="2" fillId="6" fontId="40" numFmtId="0" xfId="0" applyAlignment="1" applyBorder="1" applyFill="1" applyFont="1">
      <alignment horizontal="center" vertical="bottom"/>
    </xf>
    <xf borderId="0" fillId="12" fontId="41" numFmtId="0" xfId="0" applyAlignment="1" applyFill="1" applyFont="1">
      <alignment horizontal="center" vertical="bottom"/>
    </xf>
    <xf borderId="1" fillId="10" fontId="2" numFmtId="0" xfId="0" applyAlignment="1" applyBorder="1" applyFill="1" applyFont="1">
      <alignment horizontal="center" readingOrder="0" shrinkToFit="0" wrapText="1"/>
    </xf>
    <xf borderId="0" fillId="13" fontId="42" numFmtId="0" xfId="0" applyAlignment="1" applyFill="1" applyFont="1">
      <alignment horizontal="center" readingOrder="0"/>
    </xf>
    <xf borderId="0" fillId="24" fontId="43" numFmtId="0" xfId="0" applyAlignment="1" applyFill="1" applyFont="1">
      <alignment horizontal="center" readingOrder="0"/>
    </xf>
    <xf borderId="0" fillId="5" fontId="44" numFmtId="0" xfId="0" applyAlignment="1" applyFill="1" applyFont="1">
      <alignment horizontal="center" readingOrder="0"/>
    </xf>
    <xf borderId="0" fillId="24" fontId="45" numFmtId="0" xfId="0" applyAlignment="1" applyFill="1" applyFont="1">
      <alignment horizontal="center" readingOrder="0"/>
    </xf>
    <xf borderId="1" fillId="25" fontId="2" numFmtId="0" xfId="0" applyAlignment="1" applyBorder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2" fillId="10" fontId="2" numFmtId="0" xfId="0" applyAlignment="1" applyBorder="1" applyFill="1" applyFont="1">
      <alignment horizontal="center" readingOrder="0"/>
    </xf>
    <xf borderId="1" fillId="20" fontId="2" numFmtId="0" xfId="0" applyAlignment="1" applyBorder="1" applyFill="1" applyFont="1">
      <alignment horizontal="center" readingOrder="0"/>
    </xf>
    <xf borderId="1" fillId="26" fontId="2" numFmtId="0" xfId="0" applyAlignment="1" applyBorder="1" applyFill="1" applyFont="1">
      <alignment horizontal="center" readingOrder="0"/>
    </xf>
    <xf borderId="7" fillId="0" fontId="4" numFmtId="0" xfId="0" applyAlignment="1" applyBorder="1" applyFont="1">
      <alignment readingOrder="0"/>
    </xf>
    <xf borderId="1" fillId="9" fontId="2" numFmtId="0" xfId="0" applyAlignment="1" applyBorder="1" applyFill="1" applyFont="1">
      <alignment horizontal="center" readingOrder="0"/>
    </xf>
    <xf borderId="1" fillId="27" fontId="2" numFmtId="0" xfId="0" applyAlignment="1" applyBorder="1" applyFill="1" applyFont="1">
      <alignment horizontal="center" readingOrder="0"/>
    </xf>
    <xf borderId="0" fillId="5" fontId="46" numFmtId="0" xfId="0" applyAlignment="1" applyFill="1" applyFont="1">
      <alignment horizontal="center" readingOrder="0"/>
    </xf>
    <xf borderId="0" fillId="28" fontId="4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3">
    <dxf>
      <font>
        <color rgb="FF999999"/>
      </font>
      <fill>
        <patternFill patternType="solid">
          <fgColor rgb="FFB7B7B7"/>
          <bgColor rgb="FFB7B7B7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D81E1E"/>
          <bgColor rgb="FFD81E1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3" max="3" width="16.38"/>
    <col customWidth="1" min="4" max="4" width="25.38"/>
    <col customWidth="1" min="5" max="5" width="25.0"/>
    <col customWidth="1" min="6" max="6" width="25.38"/>
    <col customWidth="1" min="7" max="8" width="22.63"/>
    <col customWidth="1" min="10" max="10" width="5.38"/>
    <col customWidth="1" min="11" max="11" width="17.88"/>
    <col customWidth="1" min="12" max="12" width="13.38"/>
    <col customWidth="1" min="13" max="13" width="2.0"/>
    <col customWidth="1" min="14" max="14" width="2.88"/>
    <col customWidth="1" min="15" max="15" width="2.25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</row>
    <row r="2">
      <c r="A2" s="4"/>
      <c r="B2" s="5"/>
      <c r="C2" s="5"/>
      <c r="D2" s="5"/>
      <c r="E2" s="5">
        <v>46023.0</v>
      </c>
      <c r="F2" s="5">
        <v>46024.0</v>
      </c>
      <c r="G2" s="5">
        <v>46025.0</v>
      </c>
      <c r="H2" s="5">
        <v>46026.0</v>
      </c>
      <c r="I2" s="7" t="s">
        <v>9</v>
      </c>
      <c r="K2" s="8" t="s">
        <v>11</v>
      </c>
    </row>
    <row r="3">
      <c r="A3" s="9" t="s">
        <v>12</v>
      </c>
      <c r="B3" s="10"/>
      <c r="C3" s="10"/>
      <c r="D3" s="10"/>
      <c r="E3" s="12" t="s">
        <v>14</v>
      </c>
      <c r="F3" s="12" t="s">
        <v>14</v>
      </c>
      <c r="G3" s="12" t="s">
        <v>14</v>
      </c>
      <c r="H3" s="12" t="s">
        <v>14</v>
      </c>
      <c r="K3" s="8" t="s">
        <v>17</v>
      </c>
    </row>
    <row r="4">
      <c r="A4" s="9" t="s">
        <v>18</v>
      </c>
      <c r="B4" s="10"/>
      <c r="C4" s="10"/>
      <c r="D4" s="10"/>
      <c r="E4" s="15" t="s">
        <v>19</v>
      </c>
      <c r="F4" s="15" t="s">
        <v>19</v>
      </c>
      <c r="G4" s="10"/>
      <c r="H4" s="10"/>
      <c r="K4" s="8" t="s">
        <v>21</v>
      </c>
      <c r="T4" s="17"/>
      <c r="U4" s="17"/>
      <c r="V4" s="17"/>
    </row>
    <row r="5">
      <c r="A5" s="9" t="s">
        <v>22</v>
      </c>
      <c r="B5" s="10"/>
      <c r="C5" s="10"/>
      <c r="D5" s="10"/>
      <c r="E5" s="10"/>
      <c r="F5" s="10" t="s">
        <v>23</v>
      </c>
      <c r="G5" s="10"/>
      <c r="H5" s="10"/>
      <c r="K5" s="8" t="s">
        <v>25</v>
      </c>
    </row>
    <row r="6">
      <c r="A6" s="9" t="s">
        <v>26</v>
      </c>
      <c r="B6" s="10"/>
      <c r="C6" s="10"/>
      <c r="D6" s="10"/>
      <c r="E6" s="19" t="s">
        <v>30</v>
      </c>
      <c r="F6" s="15" t="s">
        <v>19</v>
      </c>
      <c r="G6" s="15" t="s">
        <v>19</v>
      </c>
      <c r="H6" s="22" t="s">
        <v>32</v>
      </c>
      <c r="J6" s="20"/>
      <c r="K6" s="23"/>
      <c r="L6" s="25" t="s">
        <v>34</v>
      </c>
      <c r="M6" s="25" t="s">
        <v>36</v>
      </c>
      <c r="N6" s="25" t="s">
        <v>37</v>
      </c>
      <c r="O6" s="25" t="s">
        <v>38</v>
      </c>
      <c r="P6" s="27" t="s">
        <v>39</v>
      </c>
      <c r="Q6" s="27" t="s">
        <v>40</v>
      </c>
      <c r="R6" s="27" t="s">
        <v>41</v>
      </c>
      <c r="S6" s="28" t="s">
        <v>42</v>
      </c>
    </row>
    <row r="7">
      <c r="A7" s="9" t="s">
        <v>43</v>
      </c>
      <c r="B7" s="10"/>
      <c r="C7" s="10"/>
      <c r="D7" s="10"/>
      <c r="E7" s="15" t="s">
        <v>19</v>
      </c>
      <c r="F7" s="21" t="s">
        <v>31</v>
      </c>
      <c r="G7" s="31" t="s">
        <v>45</v>
      </c>
      <c r="H7" s="15" t="s">
        <v>19</v>
      </c>
      <c r="J7" s="32"/>
      <c r="K7" s="12" t="s">
        <v>14</v>
      </c>
      <c r="L7" s="8">
        <f t="shared" ref="L7:L24" si="1">sum(M7:O7)</f>
        <v>6</v>
      </c>
      <c r="M7" s="8">
        <f t="shared" ref="M7:M24" si="2">SUMPRODUCT(($A$3:$A$49=$A$3)*($B$3:$H$49=$K7))+SUMPRODUCT(($A$3:$A$49=$A$4)*($B$3:$H$49=$K7))</f>
        <v>5</v>
      </c>
      <c r="N7" s="8">
        <f t="shared" ref="N7:N24" si="3">SUMPRODUCT(($A$3:$A$49=$A$6)*($B$3:$H$49=$K7))+SUMPRODUCT(($A$3:$A$49=$A$7)*($B$3:$H$49=$K7))+SUMPRODUCT(($A$3:$A$49=$A$8)*($B$3:$H$49=$K7))</f>
        <v>0</v>
      </c>
      <c r="O7" s="8">
        <f t="shared" ref="O7:O24" si="4">SUMPRODUCT(($A$3:$A$49=$A$9)*($B$3:$H$49=$K7))</f>
        <v>1</v>
      </c>
      <c r="P7" s="34"/>
      <c r="Q7" s="17"/>
      <c r="R7" s="17"/>
      <c r="S7" s="35">
        <f t="shared" ref="S7:S24" si="5">P7+Q7-R7</f>
        <v>0</v>
      </c>
    </row>
    <row r="8">
      <c r="A8" s="9" t="s">
        <v>48</v>
      </c>
      <c r="B8" s="10"/>
      <c r="C8" s="10"/>
      <c r="D8" s="10"/>
      <c r="E8" s="10"/>
      <c r="F8" s="29" t="s">
        <v>44</v>
      </c>
      <c r="G8" s="10"/>
      <c r="H8" s="10"/>
      <c r="J8" s="32"/>
      <c r="K8" s="37" t="s">
        <v>49</v>
      </c>
      <c r="L8" s="8">
        <f t="shared" si="1"/>
        <v>2</v>
      </c>
      <c r="M8" s="8">
        <f t="shared" si="2"/>
        <v>0</v>
      </c>
      <c r="N8" s="8">
        <f t="shared" si="3"/>
        <v>2</v>
      </c>
      <c r="O8" s="8">
        <f t="shared" si="4"/>
        <v>0</v>
      </c>
      <c r="P8" s="34"/>
      <c r="Q8" s="17"/>
      <c r="R8" s="17"/>
      <c r="S8" s="35">
        <f t="shared" si="5"/>
        <v>0</v>
      </c>
    </row>
    <row r="9">
      <c r="A9" s="9" t="s">
        <v>52</v>
      </c>
      <c r="B9" s="10"/>
      <c r="C9" s="10"/>
      <c r="D9" s="10"/>
      <c r="E9" s="12" t="s">
        <v>14</v>
      </c>
      <c r="F9" s="29" t="s">
        <v>44</v>
      </c>
      <c r="G9" s="29" t="s">
        <v>44</v>
      </c>
      <c r="H9" s="40" t="s">
        <v>53</v>
      </c>
      <c r="I9" s="8"/>
      <c r="J9" s="32"/>
      <c r="K9" s="29" t="s">
        <v>44</v>
      </c>
      <c r="L9" s="8">
        <f t="shared" si="1"/>
        <v>4</v>
      </c>
      <c r="M9" s="8">
        <f t="shared" si="2"/>
        <v>0</v>
      </c>
      <c r="N9" s="8">
        <f t="shared" si="3"/>
        <v>1</v>
      </c>
      <c r="O9" s="8">
        <f t="shared" si="4"/>
        <v>3</v>
      </c>
      <c r="P9" s="34"/>
      <c r="Q9" s="17"/>
      <c r="R9" s="17"/>
      <c r="S9" s="35">
        <f t="shared" si="5"/>
        <v>0</v>
      </c>
    </row>
    <row r="10">
      <c r="A10" s="4"/>
      <c r="B10" s="5">
        <v>46027.0</v>
      </c>
      <c r="C10" s="5">
        <v>46028.0</v>
      </c>
      <c r="D10" s="5">
        <v>46029.0</v>
      </c>
      <c r="E10" s="5">
        <v>46030.0</v>
      </c>
      <c r="F10" s="5">
        <v>46031.0</v>
      </c>
      <c r="G10" s="5">
        <v>46032.0</v>
      </c>
      <c r="H10" s="5">
        <v>46033.0</v>
      </c>
      <c r="I10" s="8"/>
      <c r="J10" s="32"/>
      <c r="K10" s="22" t="s">
        <v>32</v>
      </c>
      <c r="L10" s="8">
        <f t="shared" si="1"/>
        <v>6</v>
      </c>
      <c r="M10" s="8">
        <f t="shared" si="2"/>
        <v>0</v>
      </c>
      <c r="N10" s="8">
        <f t="shared" si="3"/>
        <v>6</v>
      </c>
      <c r="O10" s="8">
        <f t="shared" si="4"/>
        <v>0</v>
      </c>
      <c r="P10" s="34">
        <v>1.0</v>
      </c>
      <c r="R10" s="17"/>
      <c r="S10" s="35">
        <f t="shared" si="5"/>
        <v>1</v>
      </c>
    </row>
    <row r="11">
      <c r="A11" s="9" t="s">
        <v>12</v>
      </c>
      <c r="B11" s="40" t="s">
        <v>53</v>
      </c>
      <c r="C11" s="12" t="s">
        <v>14</v>
      </c>
      <c r="D11" s="13" t="s">
        <v>15</v>
      </c>
      <c r="E11" s="41" t="s">
        <v>54</v>
      </c>
      <c r="F11" s="30" t="s">
        <v>46</v>
      </c>
      <c r="G11" s="21" t="s">
        <v>31</v>
      </c>
      <c r="H11" s="11" t="s">
        <v>13</v>
      </c>
      <c r="I11" s="8"/>
      <c r="J11" s="32"/>
      <c r="K11" s="33" t="s">
        <v>47</v>
      </c>
      <c r="L11" s="8">
        <f t="shared" si="1"/>
        <v>11</v>
      </c>
      <c r="M11" s="8">
        <f t="shared" si="2"/>
        <v>3</v>
      </c>
      <c r="N11" s="8">
        <f t="shared" si="3"/>
        <v>2</v>
      </c>
      <c r="O11" s="8">
        <f t="shared" si="4"/>
        <v>6</v>
      </c>
      <c r="P11" s="34">
        <v>2.0</v>
      </c>
      <c r="Q11" s="17"/>
      <c r="R11" s="17">
        <v>1.0</v>
      </c>
      <c r="S11" s="35">
        <f t="shared" si="5"/>
        <v>1</v>
      </c>
    </row>
    <row r="12">
      <c r="A12" s="9" t="s">
        <v>18</v>
      </c>
      <c r="B12" s="10"/>
      <c r="C12" s="10"/>
      <c r="D12" s="10"/>
      <c r="E12" s="10"/>
      <c r="F12" s="10"/>
      <c r="G12" s="10"/>
      <c r="H12" s="10"/>
      <c r="J12" s="32"/>
      <c r="K12" s="14" t="s">
        <v>16</v>
      </c>
      <c r="L12" s="8">
        <f t="shared" si="1"/>
        <v>4</v>
      </c>
      <c r="M12" s="8">
        <f t="shared" si="2"/>
        <v>0</v>
      </c>
      <c r="N12" s="8">
        <f t="shared" si="3"/>
        <v>3</v>
      </c>
      <c r="O12" s="8">
        <f t="shared" si="4"/>
        <v>1</v>
      </c>
      <c r="P12" s="34"/>
      <c r="Q12" s="17"/>
      <c r="R12" s="17"/>
      <c r="S12" s="35">
        <f t="shared" si="5"/>
        <v>0</v>
      </c>
    </row>
    <row r="13">
      <c r="A13" s="9" t="s">
        <v>22</v>
      </c>
      <c r="B13" s="10" t="s">
        <v>66</v>
      </c>
      <c r="C13" s="10" t="s">
        <v>68</v>
      </c>
      <c r="D13" s="10" t="s">
        <v>69</v>
      </c>
      <c r="E13" s="10" t="s">
        <v>70</v>
      </c>
      <c r="F13" s="10"/>
      <c r="G13" s="10"/>
      <c r="H13" s="10" t="s">
        <v>71</v>
      </c>
      <c r="J13" s="32"/>
      <c r="K13" s="42" t="s">
        <v>60</v>
      </c>
      <c r="L13" s="8">
        <f t="shared" si="1"/>
        <v>8</v>
      </c>
      <c r="M13" s="8">
        <f t="shared" si="2"/>
        <v>3</v>
      </c>
      <c r="N13" s="8">
        <f t="shared" si="3"/>
        <v>1</v>
      </c>
      <c r="O13" s="8">
        <f t="shared" si="4"/>
        <v>4</v>
      </c>
      <c r="P13" s="34">
        <v>2.0</v>
      </c>
      <c r="Q13" s="17"/>
      <c r="R13" s="17"/>
      <c r="S13" s="35">
        <f t="shared" si="5"/>
        <v>2</v>
      </c>
    </row>
    <row r="14">
      <c r="A14" s="9" t="s">
        <v>26</v>
      </c>
      <c r="B14" s="46" t="s">
        <v>72</v>
      </c>
      <c r="C14" s="19" t="s">
        <v>30</v>
      </c>
      <c r="D14" s="40" t="s">
        <v>53</v>
      </c>
      <c r="E14" s="46" t="s">
        <v>72</v>
      </c>
      <c r="F14" s="41" t="s">
        <v>54</v>
      </c>
      <c r="G14" s="19" t="s">
        <v>30</v>
      </c>
      <c r="H14" s="40" t="s">
        <v>53</v>
      </c>
      <c r="J14" s="39"/>
      <c r="K14" s="30" t="s">
        <v>46</v>
      </c>
      <c r="L14" s="8">
        <f t="shared" si="1"/>
        <v>15</v>
      </c>
      <c r="M14" s="8">
        <f t="shared" si="2"/>
        <v>1</v>
      </c>
      <c r="N14" s="8">
        <f t="shared" si="3"/>
        <v>10</v>
      </c>
      <c r="O14" s="8">
        <f t="shared" si="4"/>
        <v>4</v>
      </c>
      <c r="P14" s="34">
        <v>3.0</v>
      </c>
      <c r="Q14" s="17"/>
      <c r="R14" s="17"/>
      <c r="S14" s="35">
        <f t="shared" si="5"/>
        <v>3</v>
      </c>
    </row>
    <row r="15">
      <c r="A15" s="9" t="s">
        <v>43</v>
      </c>
      <c r="B15" s="21" t="s">
        <v>31</v>
      </c>
      <c r="C15" s="21" t="s">
        <v>31</v>
      </c>
      <c r="D15" s="33" t="s">
        <v>47</v>
      </c>
      <c r="E15" s="30" t="s">
        <v>46</v>
      </c>
      <c r="F15" s="40" t="s">
        <v>53</v>
      </c>
      <c r="G15" s="37" t="s">
        <v>49</v>
      </c>
      <c r="H15" s="15" t="s">
        <v>19</v>
      </c>
      <c r="J15" s="39"/>
      <c r="K15" s="13" t="s">
        <v>15</v>
      </c>
      <c r="L15" s="8">
        <f t="shared" si="1"/>
        <v>5</v>
      </c>
      <c r="M15" s="8">
        <f t="shared" si="2"/>
        <v>3</v>
      </c>
      <c r="N15" s="8">
        <f t="shared" si="3"/>
        <v>0</v>
      </c>
      <c r="O15" s="8">
        <f t="shared" si="4"/>
        <v>2</v>
      </c>
      <c r="P15" s="34">
        <v>1.0</v>
      </c>
      <c r="Q15" s="17"/>
      <c r="R15" s="17">
        <v>1.0</v>
      </c>
      <c r="S15" s="35">
        <f t="shared" si="5"/>
        <v>0</v>
      </c>
    </row>
    <row r="16">
      <c r="A16" s="9" t="s">
        <v>48</v>
      </c>
      <c r="B16" s="31" t="s">
        <v>45</v>
      </c>
      <c r="C16" s="30" t="s">
        <v>46</v>
      </c>
      <c r="D16" s="10"/>
      <c r="E16" s="31" t="s">
        <v>45</v>
      </c>
      <c r="F16" s="10"/>
      <c r="G16" s="22" t="s">
        <v>32</v>
      </c>
      <c r="H16" s="10"/>
      <c r="J16" s="32"/>
      <c r="K16" s="11" t="s">
        <v>13</v>
      </c>
      <c r="L16" s="8">
        <f t="shared" si="1"/>
        <v>2</v>
      </c>
      <c r="M16" s="8">
        <f t="shared" si="2"/>
        <v>1</v>
      </c>
      <c r="N16" s="8">
        <f t="shared" si="3"/>
        <v>0</v>
      </c>
      <c r="O16" s="8">
        <f t="shared" si="4"/>
        <v>1</v>
      </c>
      <c r="P16" s="34"/>
      <c r="Q16" s="17"/>
      <c r="R16" s="17"/>
      <c r="S16" s="35">
        <f t="shared" si="5"/>
        <v>0</v>
      </c>
    </row>
    <row r="17">
      <c r="A17" s="9" t="s">
        <v>52</v>
      </c>
      <c r="B17" s="52" t="s">
        <v>76</v>
      </c>
      <c r="C17" s="42" t="s">
        <v>60</v>
      </c>
      <c r="D17" s="29" t="s">
        <v>44</v>
      </c>
      <c r="E17" s="33" t="s">
        <v>47</v>
      </c>
      <c r="F17" s="52" t="s">
        <v>76</v>
      </c>
      <c r="G17" s="13" t="s">
        <v>15</v>
      </c>
      <c r="H17" s="30" t="s">
        <v>46</v>
      </c>
      <c r="J17" s="32"/>
      <c r="K17" s="46" t="s">
        <v>72</v>
      </c>
      <c r="L17" s="8">
        <f t="shared" si="1"/>
        <v>8</v>
      </c>
      <c r="M17" s="8">
        <f t="shared" si="2"/>
        <v>0</v>
      </c>
      <c r="N17" s="8">
        <f t="shared" si="3"/>
        <v>8</v>
      </c>
      <c r="O17" s="8">
        <f t="shared" si="4"/>
        <v>0</v>
      </c>
      <c r="P17" s="49">
        <v>2.0</v>
      </c>
      <c r="Q17" s="50"/>
      <c r="R17" s="50"/>
      <c r="S17" s="35">
        <f t="shared" si="5"/>
        <v>2</v>
      </c>
    </row>
    <row r="18">
      <c r="A18" s="4"/>
      <c r="B18" s="5">
        <v>46034.0</v>
      </c>
      <c r="C18" s="5">
        <v>46035.0</v>
      </c>
      <c r="D18" s="5">
        <v>46036.0</v>
      </c>
      <c r="E18" s="5">
        <v>46037.0</v>
      </c>
      <c r="F18" s="5">
        <v>46038.0</v>
      </c>
      <c r="G18" s="5">
        <v>46039.0</v>
      </c>
      <c r="H18" s="5">
        <v>46040.0</v>
      </c>
      <c r="J18" s="32"/>
      <c r="K18" s="40" t="s">
        <v>53</v>
      </c>
      <c r="L18" s="8">
        <f t="shared" si="1"/>
        <v>12</v>
      </c>
      <c r="M18" s="8">
        <f t="shared" si="2"/>
        <v>3</v>
      </c>
      <c r="N18" s="8">
        <f t="shared" si="3"/>
        <v>5</v>
      </c>
      <c r="O18" s="8">
        <f t="shared" si="4"/>
        <v>4</v>
      </c>
      <c r="P18" s="49">
        <v>3.0</v>
      </c>
      <c r="Q18" s="50"/>
      <c r="R18" s="50">
        <v>1.0</v>
      </c>
      <c r="S18" s="35">
        <f t="shared" si="5"/>
        <v>2</v>
      </c>
    </row>
    <row r="19">
      <c r="A19" s="9" t="s">
        <v>12</v>
      </c>
      <c r="B19" s="13" t="s">
        <v>15</v>
      </c>
      <c r="C19" s="33" t="s">
        <v>47</v>
      </c>
      <c r="D19" s="42" t="s">
        <v>60</v>
      </c>
      <c r="E19" s="41" t="s">
        <v>54</v>
      </c>
      <c r="F19" s="21" t="s">
        <v>31</v>
      </c>
      <c r="G19" s="15" t="s">
        <v>19</v>
      </c>
      <c r="H19" s="42" t="s">
        <v>60</v>
      </c>
      <c r="J19" s="32"/>
      <c r="K19" s="52" t="s">
        <v>76</v>
      </c>
      <c r="L19" s="8">
        <f t="shared" si="1"/>
        <v>8</v>
      </c>
      <c r="M19" s="8">
        <f t="shared" si="2"/>
        <v>1</v>
      </c>
      <c r="N19" s="8">
        <f t="shared" si="3"/>
        <v>2</v>
      </c>
      <c r="O19" s="8">
        <f t="shared" si="4"/>
        <v>5</v>
      </c>
      <c r="P19" s="49">
        <v>2.0</v>
      </c>
      <c r="Q19" s="50"/>
      <c r="R19" s="50">
        <v>2.0</v>
      </c>
      <c r="S19" s="35">
        <f t="shared" si="5"/>
        <v>0</v>
      </c>
    </row>
    <row r="20">
      <c r="A20" s="9" t="s">
        <v>18</v>
      </c>
      <c r="B20" s="10"/>
      <c r="C20" s="10"/>
      <c r="D20" s="10"/>
      <c r="E20" s="10"/>
      <c r="F20" s="10"/>
      <c r="G20" s="10"/>
      <c r="H20" s="10"/>
      <c r="J20" s="32"/>
      <c r="K20" s="41" t="s">
        <v>54</v>
      </c>
      <c r="L20" s="8">
        <f t="shared" si="1"/>
        <v>8</v>
      </c>
      <c r="M20" s="8">
        <f t="shared" si="2"/>
        <v>4</v>
      </c>
      <c r="N20" s="8">
        <f t="shared" si="3"/>
        <v>4</v>
      </c>
      <c r="O20" s="8">
        <f t="shared" si="4"/>
        <v>0</v>
      </c>
      <c r="P20" s="49">
        <v>2.0</v>
      </c>
      <c r="Q20" s="50"/>
      <c r="R20" s="50"/>
      <c r="S20" s="35">
        <f t="shared" si="5"/>
        <v>2</v>
      </c>
    </row>
    <row r="21">
      <c r="A21" s="9" t="s">
        <v>22</v>
      </c>
      <c r="B21" s="10"/>
      <c r="C21" s="10"/>
      <c r="D21" s="10" t="s">
        <v>84</v>
      </c>
      <c r="E21" s="10" t="s">
        <v>85</v>
      </c>
      <c r="F21" s="10"/>
      <c r="G21" s="10" t="s">
        <v>86</v>
      </c>
      <c r="H21" s="10"/>
      <c r="J21" s="32"/>
      <c r="K21" s="19" t="s">
        <v>30</v>
      </c>
      <c r="L21" s="8">
        <f t="shared" si="1"/>
        <v>4</v>
      </c>
      <c r="M21" s="8">
        <f t="shared" si="2"/>
        <v>0</v>
      </c>
      <c r="N21" s="8">
        <f t="shared" si="3"/>
        <v>4</v>
      </c>
      <c r="O21" s="8">
        <f t="shared" si="4"/>
        <v>0</v>
      </c>
      <c r="P21" s="54">
        <v>1.0</v>
      </c>
      <c r="S21" s="35">
        <f t="shared" si="5"/>
        <v>1</v>
      </c>
    </row>
    <row r="22">
      <c r="A22" s="9" t="s">
        <v>26</v>
      </c>
      <c r="B22" s="40" t="s">
        <v>53</v>
      </c>
      <c r="C22" s="21" t="s">
        <v>31</v>
      </c>
      <c r="D22" s="41" t="s">
        <v>54</v>
      </c>
      <c r="E22" s="19" t="s">
        <v>30</v>
      </c>
      <c r="F22" s="46" t="s">
        <v>72</v>
      </c>
      <c r="G22" s="37" t="s">
        <v>49</v>
      </c>
      <c r="H22" s="22" t="s">
        <v>32</v>
      </c>
      <c r="I22" s="8" t="s">
        <v>0</v>
      </c>
      <c r="J22" s="32"/>
      <c r="K22" s="21" t="s">
        <v>31</v>
      </c>
      <c r="L22" s="8">
        <f t="shared" si="1"/>
        <v>12</v>
      </c>
      <c r="M22" s="8">
        <f t="shared" si="2"/>
        <v>4</v>
      </c>
      <c r="N22" s="8">
        <f t="shared" si="3"/>
        <v>8</v>
      </c>
      <c r="O22" s="8">
        <f t="shared" si="4"/>
        <v>0</v>
      </c>
      <c r="P22" s="54">
        <v>3.0</v>
      </c>
      <c r="S22" s="35">
        <f t="shared" si="5"/>
        <v>3</v>
      </c>
    </row>
    <row r="23">
      <c r="A23" s="9" t="s">
        <v>43</v>
      </c>
      <c r="B23" s="15" t="s">
        <v>19</v>
      </c>
      <c r="C23" s="42" t="s">
        <v>60</v>
      </c>
      <c r="D23" s="15" t="s">
        <v>19</v>
      </c>
      <c r="E23" s="46" t="s">
        <v>72</v>
      </c>
      <c r="F23" s="30" t="s">
        <v>46</v>
      </c>
      <c r="G23" s="22" t="s">
        <v>32</v>
      </c>
      <c r="H23" s="30" t="s">
        <v>46</v>
      </c>
      <c r="I23" s="8" t="s">
        <v>0</v>
      </c>
      <c r="J23" s="32"/>
      <c r="K23" s="15" t="s">
        <v>19</v>
      </c>
      <c r="L23" s="8">
        <f t="shared" si="1"/>
        <v>16</v>
      </c>
      <c r="M23" s="8">
        <f t="shared" si="2"/>
        <v>5</v>
      </c>
      <c r="N23" s="8">
        <f t="shared" si="3"/>
        <v>11</v>
      </c>
      <c r="O23" s="8">
        <f t="shared" si="4"/>
        <v>0</v>
      </c>
      <c r="P23" s="54">
        <v>4.0</v>
      </c>
      <c r="S23" s="35">
        <f t="shared" si="5"/>
        <v>4</v>
      </c>
      <c r="T23" s="8" t="s">
        <v>95</v>
      </c>
    </row>
    <row r="24">
      <c r="A24" s="9" t="s">
        <v>48</v>
      </c>
      <c r="B24" s="10"/>
      <c r="C24" s="10"/>
      <c r="D24" s="31" t="s">
        <v>45</v>
      </c>
      <c r="E24" s="30" t="s">
        <v>46</v>
      </c>
      <c r="F24" s="31" t="s">
        <v>45</v>
      </c>
      <c r="G24" s="52" t="s">
        <v>76</v>
      </c>
      <c r="H24" s="10"/>
      <c r="I24" s="8" t="s">
        <v>0</v>
      </c>
      <c r="J24" s="32"/>
      <c r="K24" s="31" t="s">
        <v>45</v>
      </c>
      <c r="L24" s="8">
        <f t="shared" si="1"/>
        <v>8</v>
      </c>
      <c r="M24" s="8">
        <f t="shared" si="2"/>
        <v>0</v>
      </c>
      <c r="N24" s="8">
        <f t="shared" si="3"/>
        <v>8</v>
      </c>
      <c r="O24" s="8">
        <f t="shared" si="4"/>
        <v>0</v>
      </c>
      <c r="P24" s="8">
        <v>28.0</v>
      </c>
      <c r="R24" s="8">
        <v>28.0</v>
      </c>
      <c r="S24" s="35">
        <f t="shared" si="5"/>
        <v>0</v>
      </c>
      <c r="T24" s="36">
        <f>1300*5*8</f>
        <v>52000</v>
      </c>
    </row>
    <row r="25">
      <c r="A25" s="9" t="s">
        <v>52</v>
      </c>
      <c r="B25" s="33" t="s">
        <v>47</v>
      </c>
      <c r="C25" s="40" t="s">
        <v>53</v>
      </c>
      <c r="D25" s="33" t="s">
        <v>47</v>
      </c>
      <c r="E25" s="40" t="s">
        <v>53</v>
      </c>
      <c r="F25" s="52" t="s">
        <v>76</v>
      </c>
      <c r="G25" s="42" t="s">
        <v>60</v>
      </c>
      <c r="H25" s="40" t="s">
        <v>53</v>
      </c>
      <c r="J25" s="32"/>
      <c r="S25" s="35"/>
    </row>
    <row r="26">
      <c r="A26" s="4"/>
      <c r="B26" s="5">
        <v>46041.0</v>
      </c>
      <c r="C26" s="5">
        <v>46042.0</v>
      </c>
      <c r="D26" s="5">
        <v>46043.0</v>
      </c>
      <c r="E26" s="5">
        <v>46044.0</v>
      </c>
      <c r="F26" s="5">
        <v>46045.0</v>
      </c>
      <c r="G26" s="5">
        <v>46046.0</v>
      </c>
      <c r="H26" s="5">
        <v>46047.0</v>
      </c>
      <c r="I26" s="55"/>
      <c r="J26" s="32"/>
      <c r="S26" s="35"/>
      <c r="U26" s="56"/>
      <c r="V26" s="56"/>
    </row>
    <row r="27">
      <c r="A27" s="9" t="s">
        <v>12</v>
      </c>
      <c r="B27" s="33" t="s">
        <v>47</v>
      </c>
      <c r="C27" s="40" t="s">
        <v>53</v>
      </c>
      <c r="D27" s="13" t="s">
        <v>15</v>
      </c>
      <c r="E27" s="41" t="s">
        <v>54</v>
      </c>
      <c r="F27" s="21" t="s">
        <v>31</v>
      </c>
      <c r="G27" s="15" t="s">
        <v>19</v>
      </c>
      <c r="H27" s="40" t="s">
        <v>53</v>
      </c>
      <c r="J27" s="32"/>
      <c r="S27" s="35"/>
      <c r="AB27" s="57"/>
    </row>
    <row r="28">
      <c r="A28" s="9" t="s">
        <v>18</v>
      </c>
      <c r="B28" s="10"/>
      <c r="C28" s="10"/>
      <c r="D28" s="10"/>
      <c r="E28" s="10"/>
      <c r="F28" s="10"/>
      <c r="G28" s="10"/>
      <c r="H28" s="10"/>
      <c r="J28" s="58"/>
      <c r="K28" s="59"/>
      <c r="L28" s="59"/>
      <c r="M28" s="59"/>
      <c r="N28" s="59"/>
      <c r="O28" s="59"/>
      <c r="P28" s="59"/>
      <c r="Q28" s="59"/>
      <c r="R28" s="59"/>
      <c r="S28" s="60"/>
    </row>
    <row r="29">
      <c r="A29" s="9" t="s">
        <v>22</v>
      </c>
      <c r="B29" s="10"/>
      <c r="C29" s="10" t="s">
        <v>102</v>
      </c>
      <c r="D29" s="10" t="s">
        <v>103</v>
      </c>
      <c r="E29" s="10" t="s">
        <v>102</v>
      </c>
      <c r="F29" s="10"/>
      <c r="G29" s="10" t="s">
        <v>71</v>
      </c>
      <c r="H29" s="10"/>
      <c r="I29" s="55"/>
    </row>
    <row r="30">
      <c r="A30" s="9" t="s">
        <v>26</v>
      </c>
      <c r="B30" s="46" t="s">
        <v>72</v>
      </c>
      <c r="C30" s="46" t="s">
        <v>72</v>
      </c>
      <c r="D30" s="40" t="s">
        <v>53</v>
      </c>
      <c r="E30" s="21" t="s">
        <v>31</v>
      </c>
      <c r="F30" s="41" t="s">
        <v>54</v>
      </c>
      <c r="G30" s="10"/>
      <c r="H30" s="22" t="s">
        <v>32</v>
      </c>
      <c r="I30" s="55"/>
    </row>
    <row r="31">
      <c r="A31" s="9" t="s">
        <v>43</v>
      </c>
      <c r="B31" s="21" t="s">
        <v>31</v>
      </c>
      <c r="C31" s="15" t="s">
        <v>19</v>
      </c>
      <c r="D31" s="15" t="s">
        <v>19</v>
      </c>
      <c r="E31" s="30" t="s">
        <v>46</v>
      </c>
      <c r="F31" s="30" t="s">
        <v>46</v>
      </c>
      <c r="G31" s="22" t="s">
        <v>32</v>
      </c>
      <c r="H31" s="30" t="s">
        <v>46</v>
      </c>
      <c r="I31" s="55"/>
    </row>
    <row r="32">
      <c r="A32" s="9" t="s">
        <v>48</v>
      </c>
      <c r="B32" s="31" t="s">
        <v>45</v>
      </c>
      <c r="C32" s="10"/>
      <c r="D32" s="10"/>
      <c r="F32" s="31" t="s">
        <v>45</v>
      </c>
      <c r="G32" s="52" t="s">
        <v>76</v>
      </c>
      <c r="H32" s="10"/>
      <c r="I32" s="55"/>
    </row>
    <row r="33">
      <c r="A33" s="9" t="s">
        <v>52</v>
      </c>
      <c r="B33" s="30" t="s">
        <v>46</v>
      </c>
      <c r="C33" s="52" t="s">
        <v>76</v>
      </c>
      <c r="D33" s="11" t="s">
        <v>13</v>
      </c>
      <c r="E33" s="30" t="s">
        <v>46</v>
      </c>
      <c r="F33" s="52" t="s">
        <v>76</v>
      </c>
      <c r="G33" s="13" t="s">
        <v>15</v>
      </c>
      <c r="H33" s="33" t="s">
        <v>47</v>
      </c>
    </row>
    <row r="34">
      <c r="A34" s="4"/>
      <c r="B34" s="5">
        <v>46048.0</v>
      </c>
      <c r="C34" s="5">
        <v>46049.0</v>
      </c>
      <c r="D34" s="5">
        <v>46050.0</v>
      </c>
      <c r="E34" s="5">
        <v>46051.0</v>
      </c>
      <c r="F34" s="5">
        <v>46052.0</v>
      </c>
      <c r="G34" s="5">
        <v>46053.0</v>
      </c>
      <c r="H34" s="5"/>
      <c r="I34" s="61"/>
    </row>
    <row r="35">
      <c r="A35" s="9" t="s">
        <v>12</v>
      </c>
      <c r="B35" s="21" t="s">
        <v>31</v>
      </c>
      <c r="C35" s="33" t="s">
        <v>47</v>
      </c>
      <c r="D35" s="52" t="s">
        <v>76</v>
      </c>
      <c r="E35" s="41" t="s">
        <v>54</v>
      </c>
      <c r="F35" s="42" t="s">
        <v>60</v>
      </c>
      <c r="G35" s="15" t="s">
        <v>19</v>
      </c>
      <c r="H35" s="10"/>
    </row>
    <row r="36">
      <c r="A36" s="9" t="s">
        <v>18</v>
      </c>
      <c r="B36" s="10"/>
      <c r="C36" s="10"/>
      <c r="D36" s="10"/>
      <c r="E36" s="10"/>
      <c r="F36" s="10"/>
      <c r="G36" s="10"/>
      <c r="H36" s="10"/>
    </row>
    <row r="37">
      <c r="A37" s="9" t="s">
        <v>22</v>
      </c>
      <c r="B37" s="10"/>
      <c r="C37" s="10"/>
      <c r="D37" s="10" t="s">
        <v>110</v>
      </c>
      <c r="E37" s="10"/>
      <c r="F37" s="10"/>
      <c r="G37" s="10" t="s">
        <v>111</v>
      </c>
      <c r="H37" s="10"/>
    </row>
    <row r="38">
      <c r="A38" s="9" t="s">
        <v>26</v>
      </c>
      <c r="B38" s="10"/>
      <c r="C38" s="46" t="s">
        <v>72</v>
      </c>
      <c r="D38" s="15" t="s">
        <v>19</v>
      </c>
      <c r="E38" s="46" t="s">
        <v>72</v>
      </c>
      <c r="F38" s="41" t="s">
        <v>54</v>
      </c>
      <c r="G38" s="10"/>
      <c r="H38" s="10"/>
    </row>
    <row r="39">
      <c r="A39" s="9" t="s">
        <v>43</v>
      </c>
      <c r="B39" s="15" t="s">
        <v>19</v>
      </c>
      <c r="C39" s="21" t="s">
        <v>31</v>
      </c>
      <c r="D39" s="30" t="s">
        <v>46</v>
      </c>
      <c r="E39" s="21" t="s">
        <v>31</v>
      </c>
      <c r="F39" s="33" t="s">
        <v>47</v>
      </c>
      <c r="G39" s="10"/>
      <c r="H39" s="10"/>
    </row>
    <row r="40">
      <c r="A40" s="9" t="s">
        <v>48</v>
      </c>
      <c r="B40" s="31" t="s">
        <v>45</v>
      </c>
      <c r="C40" s="14" t="s">
        <v>16</v>
      </c>
      <c r="D40" s="14" t="s">
        <v>16</v>
      </c>
      <c r="E40" s="30" t="s">
        <v>46</v>
      </c>
      <c r="G40" s="14" t="s">
        <v>16</v>
      </c>
      <c r="H40" s="10"/>
      <c r="I40" s="8"/>
    </row>
    <row r="41">
      <c r="A41" s="9" t="s">
        <v>52</v>
      </c>
      <c r="B41" s="30" t="s">
        <v>46</v>
      </c>
      <c r="C41" s="42" t="s">
        <v>60</v>
      </c>
      <c r="D41" s="42" t="s">
        <v>60</v>
      </c>
      <c r="E41" s="33" t="s">
        <v>47</v>
      </c>
      <c r="F41" s="14" t="s">
        <v>16</v>
      </c>
      <c r="G41" s="33" t="s">
        <v>47</v>
      </c>
      <c r="H41" s="10"/>
      <c r="I41" s="8"/>
    </row>
    <row r="42">
      <c r="A42" s="4"/>
      <c r="B42" s="5"/>
      <c r="C42" s="5"/>
      <c r="D42" s="5"/>
      <c r="E42" s="5"/>
      <c r="F42" s="5"/>
      <c r="G42" s="5"/>
      <c r="H42" s="5"/>
      <c r="I42" s="61"/>
    </row>
    <row r="43">
      <c r="A43" s="9" t="s">
        <v>12</v>
      </c>
      <c r="B43" s="10"/>
      <c r="C43" s="10"/>
      <c r="D43" s="10"/>
      <c r="E43" s="10"/>
      <c r="F43" s="10"/>
      <c r="G43" s="10"/>
      <c r="H43" s="10"/>
      <c r="I43" s="61"/>
    </row>
    <row r="44">
      <c r="A44" s="9" t="s">
        <v>18</v>
      </c>
      <c r="B44" s="10"/>
      <c r="C44" s="10"/>
      <c r="D44" s="10"/>
      <c r="E44" s="10"/>
      <c r="F44" s="10"/>
      <c r="G44" s="10"/>
      <c r="H44" s="10"/>
      <c r="I44" s="61"/>
    </row>
    <row r="45">
      <c r="A45" s="9" t="s">
        <v>22</v>
      </c>
      <c r="B45" s="10"/>
      <c r="C45" s="10"/>
      <c r="D45" s="10"/>
      <c r="E45" s="10"/>
      <c r="F45" s="10"/>
      <c r="G45" s="10"/>
      <c r="H45" s="10"/>
      <c r="I45" s="61"/>
    </row>
    <row r="46">
      <c r="A46" s="9" t="s">
        <v>26</v>
      </c>
      <c r="B46" s="74"/>
      <c r="C46" s="74"/>
      <c r="D46" s="74"/>
      <c r="E46" s="74"/>
      <c r="F46" s="74"/>
      <c r="G46" s="74"/>
      <c r="H46" s="74"/>
    </row>
    <row r="47">
      <c r="A47" s="9" t="s">
        <v>43</v>
      </c>
      <c r="B47" s="74"/>
      <c r="C47" s="74"/>
      <c r="D47" s="74"/>
      <c r="E47" s="74"/>
      <c r="F47" s="74"/>
      <c r="G47" s="74"/>
      <c r="H47" s="74"/>
    </row>
    <row r="48">
      <c r="A48" s="9" t="s">
        <v>48</v>
      </c>
      <c r="B48" s="74"/>
      <c r="C48" s="74"/>
      <c r="D48" s="74"/>
      <c r="E48" s="74"/>
      <c r="F48" s="74"/>
      <c r="G48" s="74"/>
      <c r="H48" s="74"/>
      <c r="I48" s="65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</row>
    <row r="49">
      <c r="A49" s="9" t="s">
        <v>52</v>
      </c>
      <c r="B49" s="74"/>
      <c r="C49" s="74"/>
      <c r="D49" s="74"/>
      <c r="E49" s="74"/>
      <c r="F49" s="74"/>
      <c r="G49" s="74"/>
      <c r="H49" s="74"/>
      <c r="I49" s="65"/>
      <c r="J49" s="65"/>
      <c r="Q49" s="66"/>
      <c r="R49" s="65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</row>
    <row r="50">
      <c r="I50" s="65"/>
      <c r="J50" s="65"/>
      <c r="Q50" s="66"/>
      <c r="R50" s="65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</row>
    <row r="51">
      <c r="R51" s="65"/>
    </row>
    <row r="52">
      <c r="I52" s="67"/>
      <c r="J52" s="68"/>
      <c r="R52" s="65"/>
      <c r="S52" s="69"/>
    </row>
    <row r="53">
      <c r="I53" s="67"/>
      <c r="J53" s="68"/>
      <c r="S53" s="69"/>
    </row>
    <row r="54">
      <c r="I54" s="72"/>
      <c r="J54" s="72"/>
      <c r="S54" s="69"/>
    </row>
    <row r="55">
      <c r="I55" s="61"/>
      <c r="J55" s="61"/>
      <c r="S55" s="69"/>
    </row>
    <row r="56">
      <c r="I56" s="61"/>
      <c r="J56" s="61"/>
      <c r="S56" s="69"/>
    </row>
    <row r="57">
      <c r="I57" s="61"/>
      <c r="J57" s="61"/>
      <c r="S57" s="69"/>
    </row>
    <row r="58">
      <c r="I58" s="61"/>
      <c r="J58" s="61"/>
      <c r="S58" s="69"/>
    </row>
    <row r="59">
      <c r="I59" s="70"/>
      <c r="J59" s="70"/>
      <c r="S59" s="69"/>
    </row>
    <row r="60">
      <c r="I60" s="70"/>
      <c r="J60" s="70"/>
      <c r="S60" s="69"/>
    </row>
    <row r="61">
      <c r="I61" s="71"/>
      <c r="J61" s="71"/>
      <c r="S61" s="69"/>
    </row>
    <row r="62">
      <c r="I62" s="71"/>
      <c r="J62" s="71"/>
      <c r="S62" s="69"/>
    </row>
    <row r="63">
      <c r="I63" s="71"/>
      <c r="J63" s="71"/>
      <c r="S63" s="69"/>
    </row>
    <row r="64">
      <c r="I64" s="72"/>
      <c r="J64" s="72"/>
      <c r="S64" s="69"/>
    </row>
    <row r="65">
      <c r="I65" s="72"/>
      <c r="J65" s="72"/>
      <c r="K65" s="71"/>
      <c r="S65" s="69"/>
    </row>
    <row r="66">
      <c r="I66" s="61"/>
      <c r="J66" s="61"/>
      <c r="K66" s="71"/>
      <c r="S66" s="69"/>
    </row>
    <row r="67">
      <c r="K67" s="71"/>
      <c r="S67" s="69"/>
    </row>
    <row r="69">
      <c r="Q69" s="73"/>
      <c r="R69" s="73"/>
      <c r="S69" s="73"/>
    </row>
    <row r="70">
      <c r="Q70" s="73"/>
      <c r="R70" s="73"/>
      <c r="S70" s="73"/>
    </row>
    <row r="71">
      <c r="Q71" s="73"/>
      <c r="R71" s="73"/>
      <c r="S71" s="73"/>
    </row>
    <row r="72">
      <c r="Q72" s="8"/>
    </row>
    <row r="74">
      <c r="I74" s="8" t="s">
        <v>109</v>
      </c>
      <c r="J74" s="8"/>
    </row>
    <row r="80">
      <c r="F80" s="75"/>
    </row>
    <row r="81">
      <c r="F81" s="75"/>
    </row>
    <row r="82">
      <c r="F82" s="75"/>
    </row>
    <row r="83">
      <c r="F83" s="75"/>
    </row>
    <row r="84"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E92" s="66"/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  <row r="1011">
      <c r="F1011" s="75"/>
    </row>
    <row r="1012">
      <c r="F1012" s="75"/>
    </row>
    <row r="1013">
      <c r="F1013" s="75"/>
    </row>
    <row r="1014">
      <c r="F1014" s="75"/>
    </row>
    <row r="1015">
      <c r="F1015" s="75"/>
    </row>
    <row r="1016">
      <c r="F1016" s="75"/>
    </row>
    <row r="1017">
      <c r="F1017" s="75"/>
    </row>
    <row r="1018">
      <c r="F1018" s="75"/>
    </row>
    <row r="1019">
      <c r="F1019" s="75"/>
    </row>
    <row r="1020">
      <c r="F1020" s="75"/>
    </row>
    <row r="1021">
      <c r="F1021" s="75"/>
    </row>
    <row r="1022">
      <c r="F1022" s="75"/>
    </row>
    <row r="1023">
      <c r="F1023" s="75"/>
    </row>
    <row r="1024">
      <c r="F1024" s="75"/>
    </row>
    <row r="1025">
      <c r="F1025" s="75"/>
    </row>
    <row r="1026">
      <c r="F1026" s="75"/>
    </row>
  </sheetData>
  <mergeCells count="3">
    <mergeCell ref="L74:R74"/>
    <mergeCell ref="L75:P75"/>
    <mergeCell ref="L76:P76"/>
  </mergeCells>
  <conditionalFormatting sqref="B2:H2 B10:H10 B18:H18 B26:H26 B34:H34 B42:H42">
    <cfRule type="timePeriod" dxfId="1" priority="1" timePeriod="today"/>
  </conditionalFormatting>
  <conditionalFormatting sqref="B2:H2 B10:H10 B18:H18 B26:H26 B34:H34 B42:H42">
    <cfRule type="expression" dxfId="0" priority="2">
      <formula>AND(TRUNC(B2)&gt;=EDATE(TODAY(),-12)+1,TRUNC(B2)&lt;=TODAY())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4.75"/>
    <col customWidth="1" min="4" max="4" width="15.5"/>
    <col customWidth="1" min="5" max="5" width="19.5"/>
    <col customWidth="1" min="6" max="6" width="18.25"/>
    <col customWidth="1" min="7" max="7" width="15.25"/>
    <col customWidth="1" min="8" max="8" width="18.25"/>
    <col customWidth="1" min="10" max="10" width="5.38"/>
    <col customWidth="1" min="11" max="11" width="17.88"/>
    <col customWidth="1" min="12" max="12" width="13.38"/>
    <col customWidth="1" min="13" max="13" width="2.0"/>
    <col customWidth="1" min="14" max="14" width="2.88"/>
    <col customWidth="1" min="15" max="15" width="2.25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</row>
    <row r="2">
      <c r="A2" s="4"/>
      <c r="B2" s="5"/>
      <c r="C2" s="5"/>
      <c r="D2" s="5"/>
      <c r="E2" s="5"/>
      <c r="F2" s="5"/>
      <c r="G2" s="5"/>
      <c r="H2" s="5">
        <v>46054.0</v>
      </c>
      <c r="I2" s="7" t="s">
        <v>9</v>
      </c>
      <c r="K2" s="8" t="s">
        <v>11</v>
      </c>
    </row>
    <row r="3">
      <c r="A3" s="9" t="s">
        <v>12</v>
      </c>
      <c r="B3" s="10"/>
      <c r="C3" s="10"/>
      <c r="D3" s="10"/>
      <c r="E3" s="10"/>
      <c r="F3" s="10"/>
      <c r="G3" s="10"/>
      <c r="H3" s="13" t="s">
        <v>15</v>
      </c>
      <c r="K3" s="8" t="s">
        <v>17</v>
      </c>
    </row>
    <row r="4">
      <c r="A4" s="9" t="s">
        <v>18</v>
      </c>
      <c r="B4" s="10"/>
      <c r="C4" s="10"/>
      <c r="D4" s="10"/>
      <c r="E4" s="10"/>
      <c r="F4" s="10"/>
      <c r="G4" s="10"/>
      <c r="H4" s="10"/>
      <c r="K4" s="8" t="s">
        <v>21</v>
      </c>
      <c r="T4" s="17"/>
      <c r="U4" s="17"/>
      <c r="V4" s="17"/>
    </row>
    <row r="5">
      <c r="A5" s="9" t="s">
        <v>22</v>
      </c>
      <c r="B5" s="10"/>
      <c r="C5" s="10"/>
      <c r="D5" s="10"/>
      <c r="E5" s="10"/>
      <c r="F5" s="10"/>
      <c r="G5" s="10"/>
      <c r="H5" s="10" t="s">
        <v>24</v>
      </c>
      <c r="K5" s="8" t="s">
        <v>25</v>
      </c>
    </row>
    <row r="6">
      <c r="A6" s="9" t="s">
        <v>26</v>
      </c>
      <c r="B6" s="10"/>
      <c r="C6" s="10"/>
      <c r="D6" s="10"/>
      <c r="E6" s="10"/>
      <c r="F6" s="10"/>
      <c r="G6" s="10"/>
      <c r="H6" s="15" t="s">
        <v>19</v>
      </c>
      <c r="J6" s="20"/>
      <c r="K6" s="23"/>
      <c r="L6" s="25" t="s">
        <v>34</v>
      </c>
      <c r="M6" s="25" t="s">
        <v>36</v>
      </c>
      <c r="N6" s="25" t="s">
        <v>37</v>
      </c>
      <c r="O6" s="25" t="s">
        <v>38</v>
      </c>
      <c r="P6" s="27" t="s">
        <v>39</v>
      </c>
      <c r="Q6" s="27" t="s">
        <v>40</v>
      </c>
      <c r="R6" s="27" t="s">
        <v>41</v>
      </c>
      <c r="S6" s="28" t="s">
        <v>42</v>
      </c>
    </row>
    <row r="7">
      <c r="A7" s="9" t="s">
        <v>43</v>
      </c>
      <c r="B7" s="10"/>
      <c r="C7" s="10"/>
      <c r="D7" s="10"/>
      <c r="E7" s="10"/>
      <c r="F7" s="10"/>
      <c r="G7" s="10"/>
      <c r="H7" s="29" t="s">
        <v>44</v>
      </c>
      <c r="J7" s="32"/>
      <c r="K7" s="12" t="s">
        <v>14</v>
      </c>
      <c r="L7" s="8">
        <f t="shared" ref="L7:L24" si="1">sum(M7:O7)</f>
        <v>5</v>
      </c>
      <c r="M7" s="8">
        <f t="shared" ref="M7:M24" si="2">SUMPRODUCT(($A$3:$A$49=$A$3)*($B$3:$H$49=$K7))+SUMPRODUCT(($A$3:$A$49=$A$4)*($B$3:$H$49=$K7))</f>
        <v>2</v>
      </c>
      <c r="N7" s="8">
        <f t="shared" ref="N7:N24" si="3">SUMPRODUCT(($A$3:$A$49=$A$6)*($B$3:$H$49=$K7))+SUMPRODUCT(($A$3:$A$49=$A$7)*($B$3:$H$49=$K7))+SUMPRODUCT(($A$3:$A$49=$A$8)*($B$3:$H$49=$K7))</f>
        <v>0</v>
      </c>
      <c r="O7" s="8">
        <f t="shared" ref="O7:O24" si="4">SUMPRODUCT(($A$3:$A$49=$A$9)*($B$3:$H$49=$K7))</f>
        <v>3</v>
      </c>
      <c r="P7" s="34"/>
      <c r="Q7" s="17"/>
      <c r="R7" s="17"/>
      <c r="S7" s="35">
        <f t="shared" ref="S7:S24" si="5">P7+Q7-R7</f>
        <v>0</v>
      </c>
    </row>
    <row r="8">
      <c r="A8" s="9" t="s">
        <v>48</v>
      </c>
      <c r="B8" s="10"/>
      <c r="C8" s="10"/>
      <c r="D8" s="10"/>
      <c r="E8" s="10"/>
      <c r="F8" s="10"/>
      <c r="G8" s="10"/>
      <c r="H8" s="10"/>
      <c r="J8" s="32"/>
      <c r="K8" s="37" t="s">
        <v>49</v>
      </c>
      <c r="L8" s="8">
        <f t="shared" si="1"/>
        <v>0</v>
      </c>
      <c r="M8" s="8">
        <f t="shared" si="2"/>
        <v>0</v>
      </c>
      <c r="N8" s="8">
        <f t="shared" si="3"/>
        <v>0</v>
      </c>
      <c r="O8" s="8">
        <f t="shared" si="4"/>
        <v>0</v>
      </c>
      <c r="P8" s="34"/>
      <c r="Q8" s="17"/>
      <c r="R8" s="17"/>
      <c r="S8" s="35">
        <f t="shared" si="5"/>
        <v>0</v>
      </c>
      <c r="T8" s="8" t="s">
        <v>51</v>
      </c>
    </row>
    <row r="9">
      <c r="A9" s="9" t="s">
        <v>52</v>
      </c>
      <c r="B9" s="10"/>
      <c r="C9" s="10"/>
      <c r="D9" s="10"/>
      <c r="E9" s="10"/>
      <c r="F9" s="10"/>
      <c r="G9" s="10"/>
      <c r="H9" s="33" t="s">
        <v>47</v>
      </c>
      <c r="I9" s="8"/>
      <c r="J9" s="32"/>
      <c r="K9" s="29" t="s">
        <v>44</v>
      </c>
      <c r="L9" s="8">
        <f t="shared" si="1"/>
        <v>10</v>
      </c>
      <c r="M9" s="8">
        <f t="shared" si="2"/>
        <v>0</v>
      </c>
      <c r="N9" s="8">
        <f t="shared" si="3"/>
        <v>4</v>
      </c>
      <c r="O9" s="8">
        <f t="shared" si="4"/>
        <v>6</v>
      </c>
      <c r="P9" s="34"/>
      <c r="Q9" s="17"/>
      <c r="R9" s="17"/>
      <c r="S9" s="35">
        <f t="shared" si="5"/>
        <v>0</v>
      </c>
    </row>
    <row r="10">
      <c r="A10" s="4"/>
      <c r="B10" s="5">
        <v>46055.0</v>
      </c>
      <c r="C10" s="5">
        <v>46056.0</v>
      </c>
      <c r="D10" s="5">
        <v>46057.0</v>
      </c>
      <c r="E10" s="5">
        <v>46058.0</v>
      </c>
      <c r="F10" s="5">
        <v>46059.0</v>
      </c>
      <c r="G10" s="5">
        <v>46060.0</v>
      </c>
      <c r="H10" s="5">
        <v>46061.0</v>
      </c>
      <c r="I10" s="8"/>
      <c r="J10" s="32"/>
      <c r="K10" s="22" t="s">
        <v>32</v>
      </c>
      <c r="L10" s="8">
        <f t="shared" si="1"/>
        <v>4</v>
      </c>
      <c r="M10" s="8">
        <f t="shared" si="2"/>
        <v>0</v>
      </c>
      <c r="N10" s="8">
        <f t="shared" si="3"/>
        <v>4</v>
      </c>
      <c r="O10" s="8">
        <f t="shared" si="4"/>
        <v>0</v>
      </c>
      <c r="P10" s="34"/>
      <c r="R10" s="17"/>
      <c r="S10" s="35">
        <f t="shared" si="5"/>
        <v>0</v>
      </c>
    </row>
    <row r="11">
      <c r="A11" s="9" t="s">
        <v>12</v>
      </c>
      <c r="B11" s="40" t="s">
        <v>53</v>
      </c>
      <c r="C11" s="15" t="s">
        <v>19</v>
      </c>
      <c r="D11" s="14" t="s">
        <v>16</v>
      </c>
      <c r="E11" s="21" t="s">
        <v>31</v>
      </c>
      <c r="F11" s="41" t="s">
        <v>54</v>
      </c>
      <c r="G11" s="15" t="s">
        <v>19</v>
      </c>
      <c r="H11" s="30" t="s">
        <v>46</v>
      </c>
      <c r="I11" s="8"/>
      <c r="J11" s="32"/>
      <c r="K11" s="33" t="s">
        <v>47</v>
      </c>
      <c r="L11" s="8">
        <f t="shared" si="1"/>
        <v>8</v>
      </c>
      <c r="M11" s="8">
        <f t="shared" si="2"/>
        <v>2</v>
      </c>
      <c r="N11" s="8">
        <f t="shared" si="3"/>
        <v>2</v>
      </c>
      <c r="O11" s="8">
        <f t="shared" si="4"/>
        <v>4</v>
      </c>
      <c r="P11" s="34">
        <v>2.0</v>
      </c>
      <c r="Q11" s="17"/>
      <c r="R11" s="17">
        <v>1.0</v>
      </c>
      <c r="S11" s="35">
        <f t="shared" si="5"/>
        <v>1</v>
      </c>
      <c r="T11" s="8" t="s">
        <v>55</v>
      </c>
    </row>
    <row r="12">
      <c r="A12" s="9" t="s">
        <v>18</v>
      </c>
      <c r="B12" s="10"/>
      <c r="C12" s="10"/>
      <c r="D12" s="10"/>
      <c r="E12" s="10"/>
      <c r="F12" s="10"/>
      <c r="G12" s="10"/>
      <c r="H12" s="10"/>
      <c r="J12" s="32"/>
      <c r="K12" s="14" t="s">
        <v>16</v>
      </c>
      <c r="L12" s="8">
        <f t="shared" si="1"/>
        <v>15</v>
      </c>
      <c r="M12" s="8">
        <f t="shared" si="2"/>
        <v>5</v>
      </c>
      <c r="N12" s="8">
        <f t="shared" si="3"/>
        <v>4</v>
      </c>
      <c r="O12" s="8">
        <f t="shared" si="4"/>
        <v>6</v>
      </c>
      <c r="P12" s="34">
        <v>2.0</v>
      </c>
      <c r="Q12" s="17"/>
      <c r="R12" s="17">
        <v>2.0</v>
      </c>
      <c r="S12" s="35">
        <f t="shared" si="5"/>
        <v>0</v>
      </c>
    </row>
    <row r="13">
      <c r="A13" s="9" t="s">
        <v>22</v>
      </c>
      <c r="B13" s="10" t="s">
        <v>63</v>
      </c>
      <c r="C13" s="10"/>
      <c r="D13" s="8" t="s">
        <v>64</v>
      </c>
      <c r="F13" s="10"/>
      <c r="G13" s="10"/>
      <c r="H13" s="10" t="s">
        <v>65</v>
      </c>
      <c r="J13" s="32"/>
      <c r="K13" s="42" t="s">
        <v>60</v>
      </c>
      <c r="L13" s="8">
        <f t="shared" si="1"/>
        <v>0</v>
      </c>
      <c r="M13" s="8">
        <f t="shared" si="2"/>
        <v>0</v>
      </c>
      <c r="N13" s="8">
        <f t="shared" si="3"/>
        <v>0</v>
      </c>
      <c r="O13" s="8">
        <f t="shared" si="4"/>
        <v>0</v>
      </c>
      <c r="P13" s="34"/>
      <c r="Q13" s="17"/>
      <c r="R13" s="17"/>
      <c r="S13" s="35">
        <f t="shared" si="5"/>
        <v>0</v>
      </c>
      <c r="T13" s="8" t="s">
        <v>61</v>
      </c>
    </row>
    <row r="14">
      <c r="A14" s="9" t="s">
        <v>26</v>
      </c>
      <c r="B14" s="31" t="s">
        <v>45</v>
      </c>
      <c r="C14" s="46" t="s">
        <v>72</v>
      </c>
      <c r="D14" s="46" t="s">
        <v>72</v>
      </c>
      <c r="E14" s="41" t="s">
        <v>54</v>
      </c>
      <c r="F14" s="31" t="s">
        <v>45</v>
      </c>
      <c r="G14" s="13" t="s">
        <v>15</v>
      </c>
      <c r="H14" s="13" t="s">
        <v>15</v>
      </c>
      <c r="J14" s="39"/>
      <c r="K14" s="30" t="s">
        <v>46</v>
      </c>
      <c r="L14" s="8">
        <f t="shared" si="1"/>
        <v>9</v>
      </c>
      <c r="M14" s="8">
        <f t="shared" si="2"/>
        <v>4</v>
      </c>
      <c r="N14" s="8">
        <f t="shared" si="3"/>
        <v>4</v>
      </c>
      <c r="O14" s="8">
        <f t="shared" si="4"/>
        <v>1</v>
      </c>
      <c r="P14" s="34">
        <v>2.0</v>
      </c>
      <c r="Q14" s="17"/>
      <c r="R14" s="17"/>
      <c r="S14" s="35">
        <f t="shared" si="5"/>
        <v>2</v>
      </c>
    </row>
    <row r="15">
      <c r="A15" s="9" t="s">
        <v>43</v>
      </c>
      <c r="B15" s="21" t="s">
        <v>31</v>
      </c>
      <c r="C15" s="14" t="s">
        <v>16</v>
      </c>
      <c r="D15" s="31" t="s">
        <v>45</v>
      </c>
      <c r="E15" s="15" t="s">
        <v>19</v>
      </c>
      <c r="F15" s="15" t="s">
        <v>19</v>
      </c>
      <c r="G15" s="40" t="s">
        <v>53</v>
      </c>
      <c r="H15" s="15" t="s">
        <v>19</v>
      </c>
      <c r="J15" s="39"/>
      <c r="K15" s="13" t="s">
        <v>15</v>
      </c>
      <c r="L15" s="8">
        <f t="shared" si="1"/>
        <v>6</v>
      </c>
      <c r="M15" s="8">
        <f t="shared" si="2"/>
        <v>1</v>
      </c>
      <c r="N15" s="8">
        <f t="shared" si="3"/>
        <v>3</v>
      </c>
      <c r="O15" s="8">
        <f t="shared" si="4"/>
        <v>2</v>
      </c>
      <c r="P15" s="34">
        <v>1.0</v>
      </c>
      <c r="Q15" s="17"/>
      <c r="R15" s="17">
        <v>1.0</v>
      </c>
      <c r="S15" s="35">
        <f t="shared" si="5"/>
        <v>0</v>
      </c>
    </row>
    <row r="16">
      <c r="A16" s="9" t="s">
        <v>48</v>
      </c>
      <c r="B16" s="10"/>
      <c r="C16" s="10"/>
      <c r="D16" s="10"/>
      <c r="E16" s="10"/>
      <c r="F16" s="10"/>
      <c r="G16" s="10"/>
      <c r="H16" s="10"/>
      <c r="J16" s="32"/>
      <c r="K16" s="11" t="s">
        <v>13</v>
      </c>
      <c r="L16" s="8">
        <f t="shared" si="1"/>
        <v>6</v>
      </c>
      <c r="M16" s="8">
        <f t="shared" si="2"/>
        <v>1</v>
      </c>
      <c r="N16" s="8">
        <f t="shared" si="3"/>
        <v>2</v>
      </c>
      <c r="O16" s="8">
        <f t="shared" si="4"/>
        <v>3</v>
      </c>
      <c r="P16" s="34"/>
      <c r="Q16" s="17"/>
      <c r="R16" s="17"/>
      <c r="S16" s="35">
        <f t="shared" si="5"/>
        <v>0</v>
      </c>
    </row>
    <row r="17">
      <c r="A17" s="9" t="s">
        <v>52</v>
      </c>
      <c r="B17" s="30" t="s">
        <v>46</v>
      </c>
      <c r="C17" s="11" t="s">
        <v>13</v>
      </c>
      <c r="D17" s="13" t="s">
        <v>15</v>
      </c>
      <c r="E17" s="14" t="s">
        <v>16</v>
      </c>
      <c r="F17" s="29" t="s">
        <v>44</v>
      </c>
      <c r="G17" s="14" t="s">
        <v>16</v>
      </c>
      <c r="H17" s="12" t="s">
        <v>14</v>
      </c>
      <c r="J17" s="32"/>
      <c r="K17" s="46" t="s">
        <v>72</v>
      </c>
      <c r="L17" s="8">
        <f t="shared" si="1"/>
        <v>8</v>
      </c>
      <c r="M17" s="8">
        <f t="shared" si="2"/>
        <v>0</v>
      </c>
      <c r="N17" s="8">
        <f t="shared" si="3"/>
        <v>8</v>
      </c>
      <c r="O17" s="8">
        <f t="shared" si="4"/>
        <v>0</v>
      </c>
      <c r="P17" s="49"/>
      <c r="Q17" s="50"/>
      <c r="R17" s="50"/>
      <c r="S17" s="35">
        <f t="shared" si="5"/>
        <v>0</v>
      </c>
      <c r="T17" s="8" t="s">
        <v>75</v>
      </c>
    </row>
    <row r="18">
      <c r="A18" s="4"/>
      <c r="B18" s="5">
        <v>46062.0</v>
      </c>
      <c r="C18" s="5">
        <v>46063.0</v>
      </c>
      <c r="D18" s="5">
        <v>46064.0</v>
      </c>
      <c r="E18" s="5">
        <v>46065.0</v>
      </c>
      <c r="F18" s="5">
        <v>46066.0</v>
      </c>
      <c r="G18" s="5">
        <v>46067.0</v>
      </c>
      <c r="H18" s="5">
        <v>46068.0</v>
      </c>
      <c r="J18" s="32"/>
      <c r="K18" s="51" t="s">
        <v>53</v>
      </c>
      <c r="L18" s="8">
        <f t="shared" si="1"/>
        <v>9</v>
      </c>
      <c r="M18" s="8">
        <f t="shared" si="2"/>
        <v>3</v>
      </c>
      <c r="N18" s="8">
        <f t="shared" si="3"/>
        <v>5</v>
      </c>
      <c r="O18" s="8">
        <f t="shared" si="4"/>
        <v>1</v>
      </c>
      <c r="P18" s="49">
        <v>2.0</v>
      </c>
      <c r="Q18" s="50"/>
      <c r="R18" s="50">
        <v>1.0</v>
      </c>
      <c r="S18" s="35">
        <f t="shared" si="5"/>
        <v>1</v>
      </c>
    </row>
    <row r="19">
      <c r="A19" s="9" t="s">
        <v>12</v>
      </c>
      <c r="B19" s="41" t="s">
        <v>54</v>
      </c>
      <c r="C19" s="15" t="s">
        <v>19</v>
      </c>
      <c r="D19" s="52" t="s">
        <v>76</v>
      </c>
      <c r="E19" s="21" t="s">
        <v>31</v>
      </c>
      <c r="F19" s="33" t="s">
        <v>47</v>
      </c>
      <c r="G19" s="12" t="s">
        <v>14</v>
      </c>
      <c r="H19" s="30" t="s">
        <v>46</v>
      </c>
      <c r="J19" s="32"/>
      <c r="K19" s="52" t="s">
        <v>76</v>
      </c>
      <c r="L19" s="8">
        <f t="shared" si="1"/>
        <v>3</v>
      </c>
      <c r="M19" s="8">
        <f t="shared" si="2"/>
        <v>1</v>
      </c>
      <c r="N19" s="8">
        <f t="shared" si="3"/>
        <v>1</v>
      </c>
      <c r="O19" s="8">
        <f t="shared" si="4"/>
        <v>1</v>
      </c>
      <c r="P19" s="49"/>
      <c r="Q19" s="50"/>
      <c r="R19" s="50"/>
      <c r="S19" s="35">
        <f t="shared" si="5"/>
        <v>0</v>
      </c>
    </row>
    <row r="20">
      <c r="A20" s="9" t="s">
        <v>18</v>
      </c>
      <c r="B20" s="10"/>
      <c r="C20" s="10"/>
      <c r="D20" s="10"/>
      <c r="E20" s="10"/>
      <c r="F20" s="10"/>
      <c r="G20" s="10"/>
      <c r="H20" s="10"/>
      <c r="J20" s="32"/>
      <c r="K20" s="41" t="s">
        <v>54</v>
      </c>
      <c r="L20" s="8">
        <f t="shared" si="1"/>
        <v>7</v>
      </c>
      <c r="M20" s="8">
        <f t="shared" si="2"/>
        <v>4</v>
      </c>
      <c r="N20" s="8">
        <f t="shared" si="3"/>
        <v>3</v>
      </c>
      <c r="O20" s="8">
        <f t="shared" si="4"/>
        <v>0</v>
      </c>
      <c r="P20" s="49"/>
      <c r="Q20" s="50"/>
      <c r="R20" s="50"/>
      <c r="S20" s="35">
        <f t="shared" si="5"/>
        <v>0</v>
      </c>
    </row>
    <row r="21">
      <c r="A21" s="9" t="s">
        <v>22</v>
      </c>
      <c r="B21" s="10"/>
      <c r="C21" s="10" t="s">
        <v>81</v>
      </c>
      <c r="D21" s="10"/>
      <c r="E21" s="10"/>
      <c r="F21" s="10"/>
      <c r="G21" s="10" t="s">
        <v>82</v>
      </c>
      <c r="H21" s="10" t="s">
        <v>83</v>
      </c>
      <c r="J21" s="32"/>
      <c r="K21" s="21" t="s">
        <v>31</v>
      </c>
      <c r="L21" s="8">
        <f t="shared" si="1"/>
        <v>8</v>
      </c>
      <c r="M21" s="8">
        <f t="shared" si="2"/>
        <v>3</v>
      </c>
      <c r="N21" s="8">
        <f t="shared" si="3"/>
        <v>4</v>
      </c>
      <c r="O21" s="8">
        <f t="shared" si="4"/>
        <v>1</v>
      </c>
      <c r="P21" s="54">
        <v>2.0</v>
      </c>
      <c r="S21" s="35">
        <f t="shared" si="5"/>
        <v>2</v>
      </c>
    </row>
    <row r="22">
      <c r="A22" s="9" t="s">
        <v>26</v>
      </c>
      <c r="B22" s="31" t="s">
        <v>45</v>
      </c>
      <c r="C22" s="21" t="s">
        <v>31</v>
      </c>
      <c r="D22" s="46" t="s">
        <v>72</v>
      </c>
      <c r="E22" s="33" t="s">
        <v>47</v>
      </c>
      <c r="F22" s="31" t="s">
        <v>45</v>
      </c>
      <c r="G22" s="11" t="s">
        <v>13</v>
      </c>
      <c r="H22" s="22" t="s">
        <v>32</v>
      </c>
      <c r="I22" s="8" t="s">
        <v>0</v>
      </c>
      <c r="J22" s="32"/>
      <c r="K22" s="15" t="s">
        <v>19</v>
      </c>
      <c r="L22" s="8">
        <f t="shared" si="1"/>
        <v>8</v>
      </c>
      <c r="M22" s="8">
        <f t="shared" si="2"/>
        <v>3</v>
      </c>
      <c r="N22" s="8">
        <f t="shared" si="3"/>
        <v>5</v>
      </c>
      <c r="O22" s="8">
        <f t="shared" si="4"/>
        <v>0</v>
      </c>
      <c r="P22" s="54">
        <v>2.0</v>
      </c>
      <c r="R22" s="8">
        <v>1.0</v>
      </c>
      <c r="S22" s="35">
        <f t="shared" si="5"/>
        <v>1</v>
      </c>
      <c r="T22" s="8" t="s">
        <v>88</v>
      </c>
    </row>
    <row r="23">
      <c r="A23" s="9" t="s">
        <v>43</v>
      </c>
      <c r="B23" s="29" t="s">
        <v>44</v>
      </c>
      <c r="C23" s="30" t="s">
        <v>46</v>
      </c>
      <c r="D23" s="31" t="s">
        <v>45</v>
      </c>
      <c r="E23" s="15" t="s">
        <v>19</v>
      </c>
      <c r="F23" s="40" t="s">
        <v>53</v>
      </c>
      <c r="G23" s="10"/>
      <c r="H23" s="33" t="s">
        <v>47</v>
      </c>
      <c r="I23" s="8" t="s">
        <v>0</v>
      </c>
      <c r="J23" s="32"/>
      <c r="K23" s="31" t="s">
        <v>45</v>
      </c>
      <c r="L23" s="8">
        <f t="shared" si="1"/>
        <v>10</v>
      </c>
      <c r="M23" s="8">
        <f t="shared" si="2"/>
        <v>0</v>
      </c>
      <c r="N23" s="8">
        <f t="shared" si="3"/>
        <v>10</v>
      </c>
      <c r="O23" s="8">
        <f t="shared" si="4"/>
        <v>0</v>
      </c>
      <c r="P23" s="54">
        <v>28.0</v>
      </c>
      <c r="R23" s="8">
        <v>28.0</v>
      </c>
      <c r="S23" s="35">
        <f t="shared" si="5"/>
        <v>0</v>
      </c>
      <c r="T23" s="8">
        <f>1300*5*10</f>
        <v>65000</v>
      </c>
    </row>
    <row r="24">
      <c r="A24" s="9" t="s">
        <v>48</v>
      </c>
      <c r="B24" s="10"/>
      <c r="C24" s="10"/>
      <c r="D24" s="43" t="s">
        <v>62</v>
      </c>
      <c r="E24" s="10"/>
      <c r="F24" s="10"/>
      <c r="G24" s="10"/>
      <c r="H24" s="10"/>
      <c r="I24" s="8" t="s">
        <v>0</v>
      </c>
      <c r="J24" s="32"/>
      <c r="K24" s="43" t="s">
        <v>62</v>
      </c>
      <c r="L24" s="8">
        <f t="shared" si="1"/>
        <v>5</v>
      </c>
      <c r="M24" s="8">
        <f t="shared" si="2"/>
        <v>2</v>
      </c>
      <c r="N24" s="8">
        <f t="shared" si="3"/>
        <v>3</v>
      </c>
      <c r="O24" s="8">
        <f t="shared" si="4"/>
        <v>0</v>
      </c>
      <c r="P24" s="8">
        <v>1.0</v>
      </c>
      <c r="S24" s="35">
        <f t="shared" si="5"/>
        <v>1</v>
      </c>
    </row>
    <row r="25">
      <c r="A25" s="9" t="s">
        <v>52</v>
      </c>
      <c r="B25" s="29" t="s">
        <v>44</v>
      </c>
      <c r="C25" s="14" t="s">
        <v>16</v>
      </c>
      <c r="D25" s="29" t="s">
        <v>44</v>
      </c>
      <c r="E25" s="11" t="s">
        <v>13</v>
      </c>
      <c r="F25" s="12" t="s">
        <v>14</v>
      </c>
      <c r="G25" s="14" t="s">
        <v>16</v>
      </c>
      <c r="H25" s="33" t="s">
        <v>47</v>
      </c>
      <c r="J25" s="32"/>
      <c r="S25" s="35"/>
    </row>
    <row r="26">
      <c r="A26" s="4"/>
      <c r="B26" s="5">
        <v>46069.0</v>
      </c>
      <c r="C26" s="5">
        <v>46070.0</v>
      </c>
      <c r="D26" s="5">
        <v>46071.0</v>
      </c>
      <c r="E26" s="5">
        <v>46072.0</v>
      </c>
      <c r="F26" s="5">
        <v>46073.0</v>
      </c>
      <c r="G26" s="5">
        <v>46074.0</v>
      </c>
      <c r="H26" s="5">
        <v>46075.0</v>
      </c>
      <c r="I26" s="55"/>
      <c r="J26" s="32"/>
      <c r="S26" s="35"/>
      <c r="U26" s="56"/>
      <c r="V26" s="56"/>
    </row>
    <row r="27">
      <c r="A27" s="9" t="s">
        <v>12</v>
      </c>
      <c r="B27" s="33" t="s">
        <v>47</v>
      </c>
      <c r="C27" s="12" t="s">
        <v>14</v>
      </c>
      <c r="D27" s="14" t="s">
        <v>16</v>
      </c>
      <c r="E27" s="41" t="s">
        <v>54</v>
      </c>
      <c r="F27" s="21" t="s">
        <v>31</v>
      </c>
      <c r="G27" s="40" t="s">
        <v>53</v>
      </c>
      <c r="H27" s="30" t="s">
        <v>46</v>
      </c>
      <c r="J27" s="32"/>
      <c r="K27" s="63" t="s">
        <v>20</v>
      </c>
      <c r="S27" s="35"/>
      <c r="T27" s="8" t="s">
        <v>96</v>
      </c>
      <c r="AB27" s="57"/>
    </row>
    <row r="28">
      <c r="A28" s="9" t="s">
        <v>18</v>
      </c>
      <c r="B28" s="10"/>
      <c r="C28" s="14" t="s">
        <v>16</v>
      </c>
      <c r="D28" s="10"/>
      <c r="E28" s="10"/>
      <c r="F28" s="10"/>
      <c r="G28" s="10"/>
      <c r="H28" s="43" t="s">
        <v>62</v>
      </c>
      <c r="J28" s="58"/>
      <c r="K28" s="59"/>
      <c r="L28" s="59"/>
      <c r="M28" s="59"/>
      <c r="N28" s="59"/>
      <c r="O28" s="59"/>
      <c r="P28" s="59"/>
      <c r="Q28" s="59"/>
      <c r="R28" s="59"/>
      <c r="S28" s="60"/>
    </row>
    <row r="29">
      <c r="A29" s="9" t="s">
        <v>22</v>
      </c>
      <c r="B29" s="10"/>
      <c r="C29" s="10"/>
      <c r="E29" s="10"/>
      <c r="F29" s="10"/>
      <c r="H29" s="64">
        <v>16.0</v>
      </c>
      <c r="I29" s="55"/>
    </row>
    <row r="30">
      <c r="A30" s="9" t="s">
        <v>26</v>
      </c>
      <c r="B30" s="31" t="s">
        <v>45</v>
      </c>
      <c r="C30" s="21" t="s">
        <v>31</v>
      </c>
      <c r="D30" s="41" t="s">
        <v>54</v>
      </c>
      <c r="E30" s="46" t="s">
        <v>72</v>
      </c>
      <c r="F30" s="46" t="s">
        <v>72</v>
      </c>
      <c r="G30" s="22" t="s">
        <v>32</v>
      </c>
      <c r="H30" s="22" t="s">
        <v>32</v>
      </c>
      <c r="I30" s="55"/>
    </row>
    <row r="31">
      <c r="A31" s="9" t="s">
        <v>43</v>
      </c>
      <c r="B31" s="30" t="s">
        <v>46</v>
      </c>
      <c r="C31" s="29" t="s">
        <v>44</v>
      </c>
      <c r="D31" s="46" t="s">
        <v>72</v>
      </c>
      <c r="E31" s="30" t="s">
        <v>46</v>
      </c>
      <c r="F31" s="31" t="s">
        <v>45</v>
      </c>
      <c r="G31" s="29" t="s">
        <v>44</v>
      </c>
      <c r="H31" s="52" t="s">
        <v>76</v>
      </c>
      <c r="I31" s="55"/>
    </row>
    <row r="32">
      <c r="A32" s="9" t="s">
        <v>48</v>
      </c>
      <c r="B32" s="43" t="s">
        <v>62</v>
      </c>
      <c r="C32" s="10"/>
      <c r="D32" s="31" t="s">
        <v>45</v>
      </c>
      <c r="E32" s="14" t="s">
        <v>16</v>
      </c>
      <c r="G32" s="10"/>
      <c r="H32" s="40" t="s">
        <v>53</v>
      </c>
      <c r="I32" s="55"/>
    </row>
    <row r="33">
      <c r="A33" s="9" t="s">
        <v>52</v>
      </c>
      <c r="B33" s="21" t="s">
        <v>31</v>
      </c>
      <c r="C33" s="29" t="s">
        <v>44</v>
      </c>
      <c r="D33" s="29" t="s">
        <v>44</v>
      </c>
      <c r="E33" s="52" t="s">
        <v>76</v>
      </c>
      <c r="F33" s="33" t="s">
        <v>47</v>
      </c>
      <c r="G33" s="11" t="s">
        <v>13</v>
      </c>
      <c r="H33" s="33" t="s">
        <v>47</v>
      </c>
    </row>
    <row r="34">
      <c r="A34" s="4"/>
      <c r="B34" s="5">
        <v>46076.0</v>
      </c>
      <c r="C34" s="5">
        <v>46077.0</v>
      </c>
      <c r="D34" s="5">
        <v>46078.0</v>
      </c>
      <c r="E34" s="5">
        <v>46079.0</v>
      </c>
      <c r="F34" s="5">
        <v>46080.0</v>
      </c>
      <c r="G34" s="5">
        <v>46081.0</v>
      </c>
      <c r="H34" s="5"/>
      <c r="I34" s="61"/>
    </row>
    <row r="35">
      <c r="A35" s="9" t="s">
        <v>12</v>
      </c>
      <c r="B35" s="14" t="s">
        <v>16</v>
      </c>
      <c r="C35" s="11" t="s">
        <v>13</v>
      </c>
      <c r="D35" s="14" t="s">
        <v>16</v>
      </c>
      <c r="E35" s="30" t="s">
        <v>46</v>
      </c>
      <c r="F35" s="41" t="s">
        <v>54</v>
      </c>
      <c r="G35" s="40" t="s">
        <v>53</v>
      </c>
      <c r="H35" s="10"/>
    </row>
    <row r="36">
      <c r="A36" s="9" t="s">
        <v>18</v>
      </c>
      <c r="B36" s="43" t="s">
        <v>62</v>
      </c>
      <c r="C36" s="10"/>
      <c r="D36" s="10"/>
      <c r="E36" s="10"/>
      <c r="F36" s="10"/>
      <c r="G36" s="10"/>
      <c r="H36" s="10"/>
    </row>
    <row r="37">
      <c r="A37" s="9" t="s">
        <v>22</v>
      </c>
      <c r="B37" s="10">
        <v>20.0</v>
      </c>
      <c r="C37" s="10" t="s">
        <v>104</v>
      </c>
      <c r="D37" s="10"/>
      <c r="F37" s="10" t="s">
        <v>105</v>
      </c>
      <c r="G37" s="10" t="s">
        <v>106</v>
      </c>
      <c r="H37" s="10"/>
    </row>
    <row r="38">
      <c r="A38" s="9" t="s">
        <v>26</v>
      </c>
      <c r="B38" s="46" t="s">
        <v>72</v>
      </c>
      <c r="C38" s="21" t="s">
        <v>31</v>
      </c>
      <c r="D38" s="40" t="s">
        <v>53</v>
      </c>
      <c r="E38" s="31" t="s">
        <v>45</v>
      </c>
      <c r="F38" s="40" t="s">
        <v>53</v>
      </c>
      <c r="G38" s="22" t="s">
        <v>32</v>
      </c>
      <c r="H38" s="10"/>
    </row>
    <row r="39">
      <c r="A39" s="9" t="s">
        <v>43</v>
      </c>
      <c r="B39" s="13" t="s">
        <v>15</v>
      </c>
      <c r="C39" s="46" t="s">
        <v>72</v>
      </c>
      <c r="D39" s="41" t="s">
        <v>54</v>
      </c>
      <c r="E39" s="11" t="s">
        <v>13</v>
      </c>
      <c r="F39" s="14" t="s">
        <v>16</v>
      </c>
      <c r="G39" s="14" t="s">
        <v>16</v>
      </c>
      <c r="H39" s="10"/>
    </row>
    <row r="40">
      <c r="A40" s="9" t="s">
        <v>48</v>
      </c>
      <c r="B40" s="10"/>
      <c r="C40" s="30" t="s">
        <v>46</v>
      </c>
      <c r="D40" s="43" t="s">
        <v>62</v>
      </c>
      <c r="E40" s="10"/>
      <c r="G40" s="10"/>
      <c r="H40" s="10"/>
      <c r="I40" s="8"/>
    </row>
    <row r="41">
      <c r="A41" s="9" t="s">
        <v>52</v>
      </c>
      <c r="B41" s="29" t="s">
        <v>44</v>
      </c>
      <c r="C41" s="40" t="s">
        <v>53</v>
      </c>
      <c r="D41" s="13" t="s">
        <v>15</v>
      </c>
      <c r="E41" s="14" t="s">
        <v>16</v>
      </c>
      <c r="F41" s="12" t="s">
        <v>14</v>
      </c>
      <c r="G41" s="14" t="s">
        <v>16</v>
      </c>
      <c r="H41" s="10"/>
      <c r="I41" s="8"/>
    </row>
    <row r="42">
      <c r="A42" s="4"/>
      <c r="B42" s="5"/>
      <c r="C42" s="5"/>
      <c r="D42" s="5"/>
      <c r="E42" s="5"/>
      <c r="F42" s="5"/>
      <c r="G42" s="5"/>
      <c r="H42" s="5"/>
      <c r="I42" s="61"/>
    </row>
    <row r="43">
      <c r="A43" s="9" t="s">
        <v>12</v>
      </c>
      <c r="B43" s="10"/>
      <c r="C43" s="10"/>
      <c r="D43" s="10"/>
      <c r="E43" s="10"/>
      <c r="F43" s="10"/>
      <c r="G43" s="10"/>
      <c r="H43" s="10"/>
      <c r="I43" s="61"/>
    </row>
    <row r="44">
      <c r="A44" s="9" t="s">
        <v>18</v>
      </c>
      <c r="B44" s="10"/>
      <c r="C44" s="10"/>
      <c r="D44" s="10"/>
      <c r="E44" s="10"/>
      <c r="F44" s="10"/>
      <c r="G44" s="10"/>
      <c r="H44" s="10"/>
      <c r="I44" s="61"/>
    </row>
    <row r="45">
      <c r="A45" s="9" t="s">
        <v>22</v>
      </c>
      <c r="B45" s="10"/>
      <c r="C45" s="10"/>
      <c r="D45" s="10"/>
      <c r="E45" s="10"/>
      <c r="F45" s="10"/>
      <c r="G45" s="10"/>
      <c r="H45" s="10"/>
      <c r="I45" s="61"/>
    </row>
    <row r="46">
      <c r="A46" s="9" t="s">
        <v>26</v>
      </c>
      <c r="B46" s="74"/>
      <c r="C46" s="74"/>
      <c r="D46" s="74"/>
      <c r="E46" s="74"/>
      <c r="F46" s="74"/>
      <c r="G46" s="74"/>
      <c r="H46" s="74"/>
    </row>
    <row r="47">
      <c r="A47" s="9" t="s">
        <v>43</v>
      </c>
      <c r="B47" s="74"/>
      <c r="C47" s="74"/>
      <c r="D47" s="74"/>
      <c r="E47" s="74"/>
      <c r="F47" s="74"/>
      <c r="G47" s="74"/>
      <c r="H47" s="74"/>
    </row>
    <row r="48">
      <c r="A48" s="9" t="s">
        <v>48</v>
      </c>
      <c r="B48" s="74"/>
      <c r="C48" s="74"/>
      <c r="D48" s="74"/>
      <c r="E48" s="74"/>
      <c r="F48" s="74"/>
      <c r="G48" s="74"/>
      <c r="H48" s="74"/>
      <c r="I48" s="65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</row>
    <row r="49">
      <c r="A49" s="9" t="s">
        <v>52</v>
      </c>
      <c r="B49" s="74"/>
      <c r="C49" s="74"/>
      <c r="D49" s="74"/>
      <c r="E49" s="74"/>
      <c r="F49" s="74"/>
      <c r="G49" s="74"/>
      <c r="H49" s="74"/>
      <c r="I49" s="65"/>
      <c r="J49" s="65"/>
      <c r="Q49" s="66"/>
      <c r="R49" s="65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</row>
    <row r="50">
      <c r="I50" s="65"/>
      <c r="J50" s="65"/>
      <c r="Q50" s="66"/>
      <c r="R50" s="65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</row>
    <row r="51">
      <c r="R51" s="65"/>
    </row>
    <row r="52">
      <c r="A52" s="29" t="s">
        <v>44</v>
      </c>
      <c r="I52" s="67"/>
      <c r="J52" s="68"/>
      <c r="S52" s="69"/>
    </row>
    <row r="53">
      <c r="A53" s="33" t="s">
        <v>47</v>
      </c>
      <c r="I53" s="61"/>
      <c r="J53" s="61"/>
      <c r="S53" s="69"/>
    </row>
    <row r="54">
      <c r="A54" s="14" t="s">
        <v>16</v>
      </c>
      <c r="I54" s="61"/>
      <c r="J54" s="61"/>
      <c r="S54" s="69"/>
    </row>
    <row r="55">
      <c r="A55" s="30" t="s">
        <v>46</v>
      </c>
      <c r="I55" s="61"/>
      <c r="J55" s="61"/>
      <c r="S55" s="69"/>
    </row>
    <row r="56">
      <c r="A56" s="13" t="s">
        <v>15</v>
      </c>
      <c r="I56" s="70"/>
      <c r="J56" s="70"/>
      <c r="S56" s="69"/>
    </row>
    <row r="57">
      <c r="A57" s="11" t="s">
        <v>13</v>
      </c>
      <c r="I57" s="71"/>
      <c r="J57" s="71"/>
      <c r="S57" s="69"/>
    </row>
    <row r="58">
      <c r="A58" s="21" t="s">
        <v>31</v>
      </c>
      <c r="K58" s="71"/>
      <c r="S58" s="69"/>
    </row>
    <row r="59">
      <c r="A59" s="31" t="s">
        <v>45</v>
      </c>
    </row>
    <row r="60">
      <c r="A60" s="43" t="s">
        <v>62</v>
      </c>
      <c r="Q60" s="73"/>
      <c r="R60" s="73"/>
      <c r="S60" s="73"/>
    </row>
    <row r="61">
      <c r="A61" s="8" t="s">
        <v>113</v>
      </c>
      <c r="Q61" s="73"/>
      <c r="R61" s="73"/>
      <c r="S61" s="73"/>
    </row>
    <row r="62">
      <c r="Q62" s="73"/>
      <c r="R62" s="73"/>
      <c r="S62" s="73"/>
    </row>
    <row r="63">
      <c r="Q63" s="8"/>
    </row>
    <row r="65">
      <c r="I65" s="8" t="s">
        <v>109</v>
      </c>
      <c r="J65" s="8"/>
    </row>
    <row r="71">
      <c r="F71" s="75"/>
    </row>
    <row r="72">
      <c r="F72" s="75"/>
    </row>
    <row r="73">
      <c r="F73" s="75"/>
    </row>
    <row r="74">
      <c r="F74" s="75"/>
    </row>
    <row r="75">
      <c r="F75" s="75"/>
    </row>
    <row r="76">
      <c r="F76" s="75"/>
    </row>
    <row r="77">
      <c r="F77" s="75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E83" s="66"/>
      <c r="F83" s="75"/>
    </row>
    <row r="84"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  <row r="1011">
      <c r="F1011" s="75"/>
    </row>
    <row r="1012">
      <c r="F1012" s="75"/>
    </row>
    <row r="1013">
      <c r="F1013" s="75"/>
    </row>
    <row r="1014">
      <c r="F1014" s="75"/>
    </row>
    <row r="1015">
      <c r="F1015" s="75"/>
    </row>
    <row r="1016">
      <c r="F1016" s="75"/>
    </row>
    <row r="1017">
      <c r="F1017" s="75"/>
    </row>
  </sheetData>
  <mergeCells count="3">
    <mergeCell ref="L65:R65"/>
    <mergeCell ref="L66:P66"/>
    <mergeCell ref="L67:P67"/>
  </mergeCells>
  <conditionalFormatting sqref="B2:H2 B10:H10 B18:H18 B26:H26 B34:H34 B42:H42">
    <cfRule type="timePeriod" dxfId="1" priority="1" timePeriod="today"/>
  </conditionalFormatting>
  <conditionalFormatting sqref="B2:H2 B10:H10 B18:H18 B26:H26 B34:H34 B42:H42">
    <cfRule type="expression" dxfId="0" priority="2">
      <formula>AND(TRUNC(B2)&gt;=EDATE(TODAY(),-12)+1,TRUNC(B2)&lt;=TODAY())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4.75"/>
    <col customWidth="1" min="4" max="4" width="15.5"/>
    <col customWidth="1" min="5" max="5" width="19.5"/>
    <col customWidth="1" min="6" max="6" width="18.25"/>
    <col customWidth="1" min="7" max="7" width="15.25"/>
    <col customWidth="1" min="8" max="8" width="18.25"/>
    <col customWidth="1" min="10" max="10" width="5.38"/>
    <col customWidth="1" min="11" max="11" width="17.88"/>
    <col customWidth="1" min="12" max="12" width="13.38"/>
    <col customWidth="1" min="13" max="13" width="2.63"/>
    <col customWidth="1" min="14" max="14" width="2.88"/>
    <col customWidth="1" min="15" max="15" width="2.25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</row>
    <row r="2">
      <c r="A2" s="4"/>
      <c r="B2" s="5"/>
      <c r="C2" s="5"/>
      <c r="D2" s="5"/>
      <c r="E2" s="5"/>
      <c r="F2" s="5"/>
      <c r="G2" s="5"/>
      <c r="H2" s="5">
        <v>46082.0</v>
      </c>
      <c r="I2" s="7" t="s">
        <v>9</v>
      </c>
      <c r="K2" s="8" t="s">
        <v>11</v>
      </c>
    </row>
    <row r="3">
      <c r="A3" s="9" t="s">
        <v>12</v>
      </c>
      <c r="B3" s="10"/>
      <c r="C3" s="10"/>
      <c r="D3" s="10"/>
      <c r="E3" s="10"/>
      <c r="F3" s="10"/>
      <c r="G3" s="10"/>
      <c r="H3" s="14" t="s">
        <v>16</v>
      </c>
      <c r="K3" s="8" t="s">
        <v>17</v>
      </c>
    </row>
    <row r="4">
      <c r="A4" s="9" t="s">
        <v>18</v>
      </c>
      <c r="B4" s="10"/>
      <c r="C4" s="10"/>
      <c r="D4" s="10"/>
      <c r="E4" s="10"/>
      <c r="F4" s="10"/>
      <c r="G4" s="10"/>
      <c r="H4" s="12" t="s">
        <v>14</v>
      </c>
      <c r="K4" s="8" t="s">
        <v>21</v>
      </c>
      <c r="S4" s="17"/>
      <c r="T4" s="17"/>
      <c r="U4" s="17"/>
    </row>
    <row r="5">
      <c r="A5" s="9" t="s">
        <v>22</v>
      </c>
      <c r="B5" s="18"/>
      <c r="C5" s="18"/>
      <c r="D5" s="18"/>
      <c r="E5" s="18"/>
      <c r="F5" s="18"/>
      <c r="G5" s="18"/>
      <c r="H5" s="18">
        <v>23.0</v>
      </c>
      <c r="K5" s="8" t="s">
        <v>25</v>
      </c>
    </row>
    <row r="6">
      <c r="A6" s="9" t="s">
        <v>26</v>
      </c>
      <c r="B6" s="10"/>
      <c r="C6" s="10"/>
      <c r="D6" s="10"/>
      <c r="E6" s="10"/>
      <c r="F6" s="10"/>
      <c r="G6" s="10"/>
      <c r="H6" s="22" t="s">
        <v>32</v>
      </c>
      <c r="J6" s="20"/>
      <c r="K6" s="23"/>
      <c r="L6" s="25" t="s">
        <v>34</v>
      </c>
      <c r="M6" s="25" t="s">
        <v>36</v>
      </c>
      <c r="N6" s="25" t="s">
        <v>37</v>
      </c>
      <c r="O6" s="25" t="s">
        <v>38</v>
      </c>
      <c r="P6" s="27" t="s">
        <v>39</v>
      </c>
      <c r="Q6" s="27" t="s">
        <v>41</v>
      </c>
      <c r="R6" s="28" t="s">
        <v>42</v>
      </c>
    </row>
    <row r="7">
      <c r="A7" s="9" t="s">
        <v>43</v>
      </c>
      <c r="B7" s="10"/>
      <c r="C7" s="10"/>
      <c r="D7" s="10"/>
      <c r="E7" s="10"/>
      <c r="F7" s="10"/>
      <c r="G7" s="10"/>
      <c r="H7" s="30" t="s">
        <v>46</v>
      </c>
      <c r="J7" s="32"/>
      <c r="K7" s="12" t="s">
        <v>14</v>
      </c>
      <c r="L7" s="8">
        <f t="shared" ref="L7:L27" si="1">sum(M7:O7)</f>
        <v>11</v>
      </c>
      <c r="M7" s="8">
        <f t="shared" ref="M7:M27" si="2">SUMPRODUCT(($A$3:$A$50=$A$3)*($B$3:$H$50=$K7))+SUMPRODUCT(($A$3:$A$50=$A$4)*($B$3:$H$50=$K7))</f>
        <v>6</v>
      </c>
      <c r="N7" s="8">
        <f t="shared" ref="N7:N27" si="3">SUMPRODUCT(($A$3:$A$50=$A$6)*($B$3:$H$50=$K7))+SUMPRODUCT(($A$3:$A$50=$A$7)*($B$3:$H$50=$K7))+SUMPRODUCT(($A$3:$A$50=$A$8)*($B$3:$H$50=$K7))</f>
        <v>0</v>
      </c>
      <c r="O7" s="8">
        <f t="shared" ref="O7:O27" si="4">SUMPRODUCT(($A$3:$A$50=$A$9)*($B$3:$H$50=$K7))</f>
        <v>5</v>
      </c>
      <c r="P7" s="34"/>
      <c r="Q7" s="17"/>
      <c r="R7" s="35">
        <f t="shared" ref="R7:R22" si="5">P7-Q7</f>
        <v>0</v>
      </c>
    </row>
    <row r="8">
      <c r="A8" s="9" t="s">
        <v>48</v>
      </c>
      <c r="B8" s="10"/>
      <c r="C8" s="10"/>
      <c r="D8" s="10"/>
      <c r="E8" s="10"/>
      <c r="F8" s="10"/>
      <c r="G8" s="10"/>
      <c r="J8" s="32"/>
      <c r="K8" s="37" t="s">
        <v>49</v>
      </c>
      <c r="L8" s="8">
        <f t="shared" si="1"/>
        <v>0</v>
      </c>
      <c r="M8" s="8">
        <f t="shared" si="2"/>
        <v>0</v>
      </c>
      <c r="N8" s="8">
        <f t="shared" si="3"/>
        <v>0</v>
      </c>
      <c r="O8" s="8">
        <f t="shared" si="4"/>
        <v>0</v>
      </c>
      <c r="P8" s="34"/>
      <c r="Q8" s="17"/>
      <c r="R8" s="35">
        <f t="shared" si="5"/>
        <v>0</v>
      </c>
      <c r="S8" s="8" t="s">
        <v>51</v>
      </c>
    </row>
    <row r="9">
      <c r="A9" s="9" t="s">
        <v>52</v>
      </c>
      <c r="B9" s="10"/>
      <c r="C9" s="10"/>
      <c r="D9" s="10"/>
      <c r="E9" s="10"/>
      <c r="F9" s="10"/>
      <c r="G9" s="10"/>
      <c r="H9" s="29" t="s">
        <v>44</v>
      </c>
      <c r="I9" s="8"/>
      <c r="J9" s="39"/>
      <c r="K9" s="29" t="s">
        <v>44</v>
      </c>
      <c r="L9" s="8">
        <f t="shared" si="1"/>
        <v>20</v>
      </c>
      <c r="M9" s="8">
        <f t="shared" si="2"/>
        <v>0</v>
      </c>
      <c r="N9" s="8">
        <f t="shared" si="3"/>
        <v>7</v>
      </c>
      <c r="O9" s="8">
        <f t="shared" si="4"/>
        <v>13</v>
      </c>
      <c r="P9" s="34"/>
      <c r="Q9" s="17"/>
      <c r="R9" s="35">
        <f t="shared" si="5"/>
        <v>0</v>
      </c>
    </row>
    <row r="10">
      <c r="A10" s="4"/>
      <c r="B10" s="5">
        <v>46083.0</v>
      </c>
      <c r="C10" s="5">
        <v>46084.0</v>
      </c>
      <c r="D10" s="5">
        <v>46085.0</v>
      </c>
      <c r="E10" s="5">
        <v>46086.0</v>
      </c>
      <c r="F10" s="5">
        <v>46087.0</v>
      </c>
      <c r="G10" s="5">
        <v>46088.0</v>
      </c>
      <c r="H10" s="5">
        <v>46089.0</v>
      </c>
      <c r="I10" s="8"/>
      <c r="J10" s="32"/>
      <c r="K10" s="22" t="s">
        <v>32</v>
      </c>
      <c r="L10" s="8">
        <f t="shared" si="1"/>
        <v>4</v>
      </c>
      <c r="M10" s="8">
        <f t="shared" si="2"/>
        <v>0</v>
      </c>
      <c r="N10" s="8">
        <f t="shared" si="3"/>
        <v>4</v>
      </c>
      <c r="O10" s="8">
        <f t="shared" si="4"/>
        <v>0</v>
      </c>
      <c r="P10" s="34">
        <v>1.0</v>
      </c>
      <c r="Q10" s="17"/>
      <c r="R10" s="35">
        <f t="shared" si="5"/>
        <v>1</v>
      </c>
    </row>
    <row r="11">
      <c r="A11" s="9" t="s">
        <v>12</v>
      </c>
      <c r="B11" s="14" t="s">
        <v>16</v>
      </c>
      <c r="C11" s="13" t="s">
        <v>15</v>
      </c>
      <c r="D11" s="12" t="s">
        <v>14</v>
      </c>
      <c r="E11" s="12" t="s">
        <v>14</v>
      </c>
      <c r="F11" s="12" t="s">
        <v>14</v>
      </c>
      <c r="G11" s="30" t="s">
        <v>46</v>
      </c>
      <c r="H11" s="30" t="s">
        <v>46</v>
      </c>
      <c r="I11" s="8"/>
      <c r="J11" s="32"/>
      <c r="K11" s="33" t="s">
        <v>47</v>
      </c>
      <c r="L11" s="8">
        <f t="shared" si="1"/>
        <v>3</v>
      </c>
      <c r="M11" s="8">
        <f t="shared" si="2"/>
        <v>0</v>
      </c>
      <c r="N11" s="8">
        <f t="shared" si="3"/>
        <v>2</v>
      </c>
      <c r="O11" s="8">
        <f t="shared" si="4"/>
        <v>1</v>
      </c>
      <c r="P11" s="34"/>
      <c r="Q11" s="17"/>
      <c r="R11" s="35">
        <f t="shared" si="5"/>
        <v>0</v>
      </c>
      <c r="S11" s="8" t="s">
        <v>55</v>
      </c>
    </row>
    <row r="12">
      <c r="A12" s="9" t="s">
        <v>18</v>
      </c>
      <c r="B12" s="10"/>
      <c r="C12" s="10"/>
      <c r="D12" s="10"/>
      <c r="E12" s="10"/>
      <c r="F12" s="10"/>
      <c r="G12" s="10"/>
      <c r="H12" s="10"/>
      <c r="J12" s="39" t="s">
        <v>36</v>
      </c>
      <c r="K12" s="14" t="s">
        <v>16</v>
      </c>
      <c r="L12" s="8">
        <f t="shared" si="1"/>
        <v>18</v>
      </c>
      <c r="M12" s="8">
        <f t="shared" si="2"/>
        <v>5</v>
      </c>
      <c r="N12" s="8">
        <f t="shared" si="3"/>
        <v>6</v>
      </c>
      <c r="O12" s="8">
        <f t="shared" si="4"/>
        <v>7</v>
      </c>
      <c r="P12" s="34">
        <v>3.0</v>
      </c>
      <c r="Q12" s="17">
        <v>1.0</v>
      </c>
      <c r="R12" s="35">
        <f t="shared" si="5"/>
        <v>2</v>
      </c>
    </row>
    <row r="13">
      <c r="A13" s="9" t="s">
        <v>22</v>
      </c>
      <c r="B13" s="18"/>
      <c r="C13" s="18">
        <v>13.0</v>
      </c>
      <c r="D13" s="18">
        <v>11.0</v>
      </c>
      <c r="E13" s="18" t="s">
        <v>56</v>
      </c>
      <c r="F13" s="18" t="s">
        <v>57</v>
      </c>
      <c r="G13" s="18" t="s">
        <v>58</v>
      </c>
      <c r="H13" s="18" t="s">
        <v>59</v>
      </c>
      <c r="J13" s="32"/>
      <c r="K13" s="42" t="s">
        <v>60</v>
      </c>
      <c r="L13" s="8">
        <f t="shared" si="1"/>
        <v>1</v>
      </c>
      <c r="M13" s="8">
        <f t="shared" si="2"/>
        <v>0</v>
      </c>
      <c r="N13" s="8">
        <f t="shared" si="3"/>
        <v>1</v>
      </c>
      <c r="O13" s="8">
        <f t="shared" si="4"/>
        <v>0</v>
      </c>
      <c r="P13" s="34"/>
      <c r="Q13" s="17"/>
      <c r="R13" s="35">
        <f t="shared" si="5"/>
        <v>0</v>
      </c>
      <c r="S13" s="8" t="s">
        <v>61</v>
      </c>
    </row>
    <row r="14">
      <c r="A14" s="9" t="s">
        <v>26</v>
      </c>
      <c r="B14" s="13" t="s">
        <v>15</v>
      </c>
      <c r="C14" s="21" t="s">
        <v>31</v>
      </c>
      <c r="D14" s="43" t="s">
        <v>62</v>
      </c>
      <c r="E14" s="29" t="s">
        <v>44</v>
      </c>
      <c r="F14" s="29" t="s">
        <v>44</v>
      </c>
      <c r="G14" s="43" t="s">
        <v>62</v>
      </c>
      <c r="H14" s="22" t="s">
        <v>32</v>
      </c>
      <c r="J14" s="39" t="s">
        <v>36</v>
      </c>
      <c r="K14" s="30" t="s">
        <v>46</v>
      </c>
      <c r="L14" s="8">
        <f t="shared" si="1"/>
        <v>8</v>
      </c>
      <c r="M14" s="8">
        <f t="shared" si="2"/>
        <v>6</v>
      </c>
      <c r="N14" s="8">
        <f t="shared" si="3"/>
        <v>2</v>
      </c>
      <c r="O14" s="8">
        <f t="shared" si="4"/>
        <v>0</v>
      </c>
      <c r="P14" s="34">
        <v>2.0</v>
      </c>
      <c r="Q14" s="17">
        <v>0.0</v>
      </c>
      <c r="R14" s="35">
        <f t="shared" si="5"/>
        <v>2</v>
      </c>
    </row>
    <row r="15">
      <c r="A15" s="9" t="s">
        <v>43</v>
      </c>
      <c r="B15" s="21" t="s">
        <v>31</v>
      </c>
      <c r="C15" s="43" t="s">
        <v>62</v>
      </c>
      <c r="D15" s="29" t="s">
        <v>44</v>
      </c>
      <c r="E15" s="10"/>
      <c r="F15" s="31" t="s">
        <v>45</v>
      </c>
      <c r="G15" s="47" t="s">
        <v>73</v>
      </c>
      <c r="H15" s="47" t="s">
        <v>73</v>
      </c>
      <c r="J15" s="39" t="s">
        <v>36</v>
      </c>
      <c r="K15" s="13" t="s">
        <v>15</v>
      </c>
      <c r="L15" s="8">
        <f t="shared" si="1"/>
        <v>8</v>
      </c>
      <c r="M15" s="8">
        <f t="shared" si="2"/>
        <v>3</v>
      </c>
      <c r="N15" s="8">
        <f t="shared" si="3"/>
        <v>2</v>
      </c>
      <c r="O15" s="8">
        <f t="shared" si="4"/>
        <v>3</v>
      </c>
      <c r="P15" s="34">
        <v>2.0</v>
      </c>
      <c r="Q15" s="17">
        <v>1.0</v>
      </c>
      <c r="R15" s="35">
        <f t="shared" si="5"/>
        <v>1</v>
      </c>
    </row>
    <row r="16" ht="20.25" customHeight="1">
      <c r="A16" s="9" t="s">
        <v>48</v>
      </c>
      <c r="B16" s="10"/>
      <c r="C16" s="14" t="s">
        <v>16</v>
      </c>
      <c r="D16" s="10"/>
      <c r="E16" s="10"/>
      <c r="G16" s="24" t="s">
        <v>33</v>
      </c>
      <c r="H16" s="24" t="s">
        <v>33</v>
      </c>
      <c r="J16" s="39" t="s">
        <v>36</v>
      </c>
      <c r="K16" s="11" t="s">
        <v>13</v>
      </c>
      <c r="L16" s="8">
        <f t="shared" si="1"/>
        <v>15</v>
      </c>
      <c r="M16" s="8">
        <f t="shared" si="2"/>
        <v>5</v>
      </c>
      <c r="N16" s="8">
        <f t="shared" si="3"/>
        <v>8</v>
      </c>
      <c r="O16" s="8">
        <f t="shared" si="4"/>
        <v>2</v>
      </c>
      <c r="P16" s="34"/>
      <c r="Q16" s="17"/>
      <c r="R16" s="35">
        <f t="shared" si="5"/>
        <v>0</v>
      </c>
    </row>
    <row r="17">
      <c r="A17" s="9" t="s">
        <v>52</v>
      </c>
      <c r="B17" s="14" t="s">
        <v>16</v>
      </c>
      <c r="C17" s="14" t="s">
        <v>16</v>
      </c>
      <c r="D17" s="12" t="s">
        <v>14</v>
      </c>
      <c r="E17" s="12" t="s">
        <v>14</v>
      </c>
      <c r="F17" s="29" t="s">
        <v>44</v>
      </c>
      <c r="G17" s="13" t="s">
        <v>15</v>
      </c>
      <c r="H17" s="29" t="s">
        <v>44</v>
      </c>
      <c r="J17" s="32"/>
      <c r="K17" s="48" t="s">
        <v>74</v>
      </c>
      <c r="L17" s="8">
        <f t="shared" si="1"/>
        <v>1</v>
      </c>
      <c r="M17" s="8">
        <f t="shared" si="2"/>
        <v>1</v>
      </c>
      <c r="N17" s="8">
        <f t="shared" si="3"/>
        <v>0</v>
      </c>
      <c r="O17" s="8">
        <f t="shared" si="4"/>
        <v>0</v>
      </c>
      <c r="P17" s="34">
        <v>1.0</v>
      </c>
      <c r="Q17" s="17">
        <v>0.0</v>
      </c>
      <c r="R17" s="35">
        <f t="shared" si="5"/>
        <v>1</v>
      </c>
    </row>
    <row r="18">
      <c r="A18" s="4"/>
      <c r="B18" s="5">
        <v>46090.0</v>
      </c>
      <c r="C18" s="5">
        <v>46091.0</v>
      </c>
      <c r="D18" s="5">
        <v>46092.0</v>
      </c>
      <c r="E18" s="5">
        <v>46093.0</v>
      </c>
      <c r="F18" s="5">
        <v>46094.0</v>
      </c>
      <c r="G18" s="5">
        <v>46095.0</v>
      </c>
      <c r="H18" s="5">
        <v>46096.0</v>
      </c>
      <c r="J18" s="32"/>
      <c r="K18" s="26" t="s">
        <v>35</v>
      </c>
      <c r="L18" s="8">
        <f t="shared" si="1"/>
        <v>0</v>
      </c>
      <c r="M18" s="8">
        <f t="shared" si="2"/>
        <v>0</v>
      </c>
      <c r="N18" s="8">
        <f t="shared" si="3"/>
        <v>0</v>
      </c>
      <c r="O18" s="8">
        <f t="shared" si="4"/>
        <v>0</v>
      </c>
      <c r="P18" s="34"/>
      <c r="Q18" s="17"/>
      <c r="R18" s="35">
        <f t="shared" si="5"/>
        <v>0</v>
      </c>
    </row>
    <row r="19">
      <c r="A19" s="9" t="s">
        <v>12</v>
      </c>
      <c r="B19" s="11" t="s">
        <v>13</v>
      </c>
      <c r="C19" s="43" t="s">
        <v>62</v>
      </c>
      <c r="D19" s="14" t="s">
        <v>16</v>
      </c>
      <c r="E19" s="11" t="s">
        <v>13</v>
      </c>
      <c r="F19" s="48" t="s">
        <v>74</v>
      </c>
      <c r="G19" s="13" t="s">
        <v>15</v>
      </c>
      <c r="H19" s="12" t="s">
        <v>14</v>
      </c>
      <c r="J19" s="32"/>
      <c r="K19" s="41" t="s">
        <v>54</v>
      </c>
      <c r="L19" s="8">
        <f t="shared" si="1"/>
        <v>3</v>
      </c>
      <c r="M19" s="8">
        <f t="shared" si="2"/>
        <v>1</v>
      </c>
      <c r="N19" s="8">
        <f t="shared" si="3"/>
        <v>2</v>
      </c>
      <c r="O19" s="8">
        <f t="shared" si="4"/>
        <v>0</v>
      </c>
      <c r="P19" s="34"/>
      <c r="Q19" s="17"/>
      <c r="R19" s="35">
        <f t="shared" si="5"/>
        <v>0</v>
      </c>
    </row>
    <row r="20">
      <c r="A20" s="9" t="s">
        <v>18</v>
      </c>
      <c r="B20" s="10"/>
      <c r="C20" s="10"/>
      <c r="D20" s="10"/>
      <c r="E20" s="10"/>
      <c r="F20" s="10"/>
      <c r="G20" s="10"/>
      <c r="H20" s="10"/>
      <c r="J20" s="39" t="s">
        <v>36</v>
      </c>
      <c r="K20" s="21" t="s">
        <v>31</v>
      </c>
      <c r="L20" s="8">
        <f t="shared" si="1"/>
        <v>9</v>
      </c>
      <c r="M20" s="8">
        <f t="shared" si="2"/>
        <v>3</v>
      </c>
      <c r="N20" s="8">
        <f t="shared" si="3"/>
        <v>6</v>
      </c>
      <c r="O20" s="8">
        <f t="shared" si="4"/>
        <v>0</v>
      </c>
      <c r="P20" s="34">
        <v>2.0</v>
      </c>
      <c r="Q20" s="17"/>
      <c r="R20" s="35">
        <f t="shared" si="5"/>
        <v>2</v>
      </c>
    </row>
    <row r="21">
      <c r="A21" s="9" t="s">
        <v>22</v>
      </c>
      <c r="B21" s="18" t="s">
        <v>57</v>
      </c>
      <c r="C21" s="18" t="s">
        <v>80</v>
      </c>
      <c r="D21" s="18">
        <v>2.0</v>
      </c>
      <c r="E21" s="18">
        <v>9.0</v>
      </c>
      <c r="F21" s="18" t="s">
        <v>57</v>
      </c>
      <c r="G21" s="18">
        <v>18.0</v>
      </c>
      <c r="H21" s="18">
        <v>13.0</v>
      </c>
      <c r="J21" s="32"/>
      <c r="K21" s="31" t="s">
        <v>45</v>
      </c>
      <c r="L21" s="8">
        <f t="shared" si="1"/>
        <v>7</v>
      </c>
      <c r="M21" s="8">
        <f t="shared" si="2"/>
        <v>0</v>
      </c>
      <c r="N21" s="8">
        <f t="shared" si="3"/>
        <v>7</v>
      </c>
      <c r="O21" s="8">
        <f t="shared" si="4"/>
        <v>0</v>
      </c>
      <c r="P21" s="34">
        <v>24.0</v>
      </c>
      <c r="Q21" s="17">
        <v>21.0</v>
      </c>
      <c r="R21" s="35">
        <f t="shared" si="5"/>
        <v>3</v>
      </c>
      <c r="S21" s="36">
        <f>1300*5*7</f>
        <v>45500</v>
      </c>
    </row>
    <row r="22">
      <c r="A22" s="9" t="s">
        <v>26</v>
      </c>
      <c r="B22" s="14" t="s">
        <v>16</v>
      </c>
      <c r="C22" s="11" t="s">
        <v>13</v>
      </c>
      <c r="D22" s="21" t="s">
        <v>31</v>
      </c>
      <c r="E22" s="14" t="s">
        <v>16</v>
      </c>
      <c r="F22" s="14" t="s">
        <v>16</v>
      </c>
      <c r="G22" s="43" t="s">
        <v>62</v>
      </c>
      <c r="H22" s="47" t="s">
        <v>73</v>
      </c>
      <c r="I22" s="8" t="s">
        <v>0</v>
      </c>
      <c r="J22" s="39" t="s">
        <v>36</v>
      </c>
      <c r="K22" s="43" t="s">
        <v>62</v>
      </c>
      <c r="L22" s="8">
        <f t="shared" si="1"/>
        <v>8</v>
      </c>
      <c r="M22" s="8">
        <f t="shared" si="2"/>
        <v>2</v>
      </c>
      <c r="N22" s="8">
        <f t="shared" si="3"/>
        <v>6</v>
      </c>
      <c r="O22" s="8">
        <f t="shared" si="4"/>
        <v>0</v>
      </c>
      <c r="P22" s="34">
        <v>2.0</v>
      </c>
      <c r="Q22" s="17"/>
      <c r="R22" s="35">
        <f t="shared" si="5"/>
        <v>2</v>
      </c>
    </row>
    <row r="23">
      <c r="A23" s="9" t="s">
        <v>43</v>
      </c>
      <c r="B23" s="29" t="s">
        <v>44</v>
      </c>
      <c r="C23" s="31" t="s">
        <v>45</v>
      </c>
      <c r="D23" s="11" t="s">
        <v>13</v>
      </c>
      <c r="E23" s="41" t="s">
        <v>54</v>
      </c>
      <c r="F23" s="21" t="s">
        <v>31</v>
      </c>
      <c r="G23" s="47" t="s">
        <v>73</v>
      </c>
      <c r="H23" s="30" t="s">
        <v>46</v>
      </c>
      <c r="I23" s="8" t="s">
        <v>0</v>
      </c>
      <c r="J23" s="32"/>
      <c r="K23" s="47" t="s">
        <v>73</v>
      </c>
      <c r="L23" s="8">
        <f t="shared" si="1"/>
        <v>8</v>
      </c>
      <c r="M23" s="8">
        <f t="shared" si="2"/>
        <v>0</v>
      </c>
      <c r="N23" s="8">
        <f t="shared" si="3"/>
        <v>8</v>
      </c>
      <c r="O23" s="8">
        <f t="shared" si="4"/>
        <v>0</v>
      </c>
      <c r="P23" s="54">
        <v>2.0</v>
      </c>
      <c r="R23" s="35"/>
    </row>
    <row r="24">
      <c r="A24" s="9" t="s">
        <v>48</v>
      </c>
      <c r="B24" s="10"/>
      <c r="C24" s="10"/>
      <c r="D24" s="10"/>
      <c r="E24" s="10"/>
      <c r="F24" s="10"/>
      <c r="H24" s="24" t="s">
        <v>33</v>
      </c>
      <c r="I24" s="8" t="s">
        <v>0</v>
      </c>
      <c r="J24" s="32"/>
      <c r="K24" s="24" t="s">
        <v>33</v>
      </c>
      <c r="L24" s="8">
        <f t="shared" si="1"/>
        <v>6</v>
      </c>
      <c r="M24" s="8">
        <f t="shared" si="2"/>
        <v>0</v>
      </c>
      <c r="N24" s="8">
        <f t="shared" si="3"/>
        <v>6</v>
      </c>
      <c r="O24" s="8">
        <f t="shared" si="4"/>
        <v>0</v>
      </c>
      <c r="R24" s="35"/>
    </row>
    <row r="25">
      <c r="A25" s="9" t="s">
        <v>52</v>
      </c>
      <c r="B25" s="29" t="s">
        <v>44</v>
      </c>
      <c r="C25" s="14" t="s">
        <v>16</v>
      </c>
      <c r="D25" s="29" t="s">
        <v>44</v>
      </c>
      <c r="E25" s="12" t="s">
        <v>14</v>
      </c>
      <c r="F25" s="29" t="s">
        <v>44</v>
      </c>
      <c r="G25" s="12" t="s">
        <v>14</v>
      </c>
      <c r="H25" s="11" t="s">
        <v>13</v>
      </c>
      <c r="J25" s="32"/>
      <c r="K25" s="38" t="s">
        <v>50</v>
      </c>
      <c r="L25" s="8">
        <f t="shared" si="1"/>
        <v>1</v>
      </c>
      <c r="M25" s="8">
        <f t="shared" si="2"/>
        <v>0</v>
      </c>
      <c r="N25" s="8">
        <f t="shared" si="3"/>
        <v>1</v>
      </c>
      <c r="O25" s="8">
        <f t="shared" si="4"/>
        <v>0</v>
      </c>
      <c r="R25" s="35"/>
    </row>
    <row r="26">
      <c r="A26" s="4"/>
      <c r="B26" s="5">
        <v>46097.0</v>
      </c>
      <c r="C26" s="5">
        <v>46098.0</v>
      </c>
      <c r="D26" s="5">
        <v>46099.0</v>
      </c>
      <c r="E26" s="5">
        <v>46100.0</v>
      </c>
      <c r="F26" s="5">
        <v>46101.0</v>
      </c>
      <c r="G26" s="5">
        <v>46102.0</v>
      </c>
      <c r="H26" s="5">
        <v>46103.0</v>
      </c>
      <c r="I26" s="55"/>
      <c r="J26" s="32"/>
      <c r="K26" s="53" t="s">
        <v>79</v>
      </c>
      <c r="L26" s="8">
        <f t="shared" si="1"/>
        <v>2</v>
      </c>
      <c r="M26" s="8">
        <f t="shared" si="2"/>
        <v>0</v>
      </c>
      <c r="N26" s="8">
        <f t="shared" si="3"/>
        <v>2</v>
      </c>
      <c r="O26" s="8">
        <f t="shared" si="4"/>
        <v>0</v>
      </c>
      <c r="R26" s="35"/>
      <c r="T26" s="56"/>
      <c r="U26" s="56"/>
    </row>
    <row r="27">
      <c r="A27" s="9" t="s">
        <v>12</v>
      </c>
      <c r="B27" s="62" t="s">
        <v>31</v>
      </c>
      <c r="C27" s="14" t="s">
        <v>16</v>
      </c>
      <c r="D27" s="43" t="s">
        <v>62</v>
      </c>
      <c r="E27" s="41" t="s">
        <v>54</v>
      </c>
      <c r="F27" s="11" t="s">
        <v>13</v>
      </c>
      <c r="G27" s="13" t="s">
        <v>15</v>
      </c>
      <c r="H27" s="30" t="s">
        <v>46</v>
      </c>
      <c r="J27" s="32"/>
      <c r="K27" s="16" t="s">
        <v>20</v>
      </c>
      <c r="L27" s="8">
        <f t="shared" si="1"/>
        <v>0</v>
      </c>
      <c r="M27" s="8">
        <f t="shared" si="2"/>
        <v>0</v>
      </c>
      <c r="N27" s="8">
        <f t="shared" si="3"/>
        <v>0</v>
      </c>
      <c r="O27" s="8">
        <f t="shared" si="4"/>
        <v>0</v>
      </c>
      <c r="R27" s="35"/>
      <c r="S27" s="8" t="s">
        <v>96</v>
      </c>
      <c r="AA27" s="57"/>
    </row>
    <row r="28">
      <c r="A28" s="9" t="s">
        <v>18</v>
      </c>
      <c r="B28" s="10"/>
      <c r="C28" s="10"/>
      <c r="D28" s="10"/>
      <c r="E28" s="10"/>
      <c r="F28" s="10"/>
      <c r="G28" s="10"/>
      <c r="H28" s="10"/>
      <c r="J28" s="58"/>
      <c r="K28" s="59"/>
      <c r="L28" s="59"/>
      <c r="M28" s="59"/>
      <c r="N28" s="59"/>
      <c r="O28" s="59"/>
      <c r="P28" s="59"/>
      <c r="Q28" s="59"/>
      <c r="R28" s="60"/>
    </row>
    <row r="29">
      <c r="A29" s="9" t="s">
        <v>22</v>
      </c>
      <c r="B29" s="18" t="s">
        <v>97</v>
      </c>
      <c r="C29" s="18">
        <v>11.0</v>
      </c>
      <c r="D29" s="18" t="s">
        <v>58</v>
      </c>
      <c r="E29" s="18" t="s">
        <v>99</v>
      </c>
      <c r="F29" s="18" t="s">
        <v>100</v>
      </c>
      <c r="G29" s="18">
        <v>7.0</v>
      </c>
      <c r="H29" s="18" t="s">
        <v>101</v>
      </c>
      <c r="I29" s="55"/>
    </row>
    <row r="30">
      <c r="A30" s="9" t="s">
        <v>26</v>
      </c>
      <c r="B30" s="29" t="s">
        <v>44</v>
      </c>
      <c r="C30" s="31" t="s">
        <v>45</v>
      </c>
      <c r="D30" s="62" t="s">
        <v>31</v>
      </c>
      <c r="E30" s="29" t="s">
        <v>44</v>
      </c>
      <c r="F30" s="43" t="s">
        <v>62</v>
      </c>
      <c r="G30" s="22" t="s">
        <v>32</v>
      </c>
      <c r="H30" s="22" t="s">
        <v>32</v>
      </c>
      <c r="I30" s="55"/>
      <c r="K30" s="14" t="s">
        <v>16</v>
      </c>
    </row>
    <row r="31">
      <c r="A31" s="9" t="s">
        <v>43</v>
      </c>
      <c r="B31" s="14" t="s">
        <v>16</v>
      </c>
      <c r="C31" s="11" t="s">
        <v>13</v>
      </c>
      <c r="D31" s="11" t="s">
        <v>13</v>
      </c>
      <c r="E31" s="31" t="s">
        <v>45</v>
      </c>
      <c r="F31" s="33" t="s">
        <v>47</v>
      </c>
      <c r="G31" s="42" t="s">
        <v>60</v>
      </c>
      <c r="H31" s="47" t="s">
        <v>73</v>
      </c>
      <c r="I31" s="55"/>
      <c r="K31" s="42" t="s">
        <v>60</v>
      </c>
    </row>
    <row r="32">
      <c r="A32" s="9" t="s">
        <v>48</v>
      </c>
      <c r="B32" s="38" t="s">
        <v>50</v>
      </c>
      <c r="C32" s="10"/>
      <c r="D32" s="10"/>
      <c r="E32" s="10"/>
      <c r="F32" s="10"/>
      <c r="G32" s="47" t="s">
        <v>73</v>
      </c>
      <c r="H32" s="24" t="s">
        <v>33</v>
      </c>
      <c r="I32" s="55"/>
      <c r="K32" s="30" t="s">
        <v>46</v>
      </c>
    </row>
    <row r="33">
      <c r="A33" s="9"/>
      <c r="B33" s="10"/>
      <c r="C33" s="10"/>
      <c r="D33" s="10"/>
      <c r="F33" s="10"/>
      <c r="G33" s="24" t="s">
        <v>33</v>
      </c>
      <c r="H33" s="10"/>
      <c r="I33" s="55"/>
      <c r="K33" s="13" t="s">
        <v>15</v>
      </c>
    </row>
    <row r="34">
      <c r="A34" s="9" t="s">
        <v>52</v>
      </c>
      <c r="B34" s="29" t="s">
        <v>44</v>
      </c>
      <c r="C34" s="13" t="s">
        <v>15</v>
      </c>
      <c r="D34" s="29" t="s">
        <v>44</v>
      </c>
      <c r="E34" s="29" t="s">
        <v>44</v>
      </c>
      <c r="F34" s="14" t="s">
        <v>16</v>
      </c>
      <c r="G34" s="11" t="s">
        <v>13</v>
      </c>
      <c r="H34" s="14" t="s">
        <v>16</v>
      </c>
      <c r="K34" s="11" t="s">
        <v>13</v>
      </c>
    </row>
    <row r="35">
      <c r="A35" s="4"/>
      <c r="B35" s="5">
        <v>46104.0</v>
      </c>
      <c r="C35" s="5">
        <v>46105.0</v>
      </c>
      <c r="D35" s="5">
        <v>46106.0</v>
      </c>
      <c r="E35" s="5">
        <v>46107.0</v>
      </c>
      <c r="F35" s="5">
        <v>46108.0</v>
      </c>
      <c r="G35" s="5">
        <v>46109.0</v>
      </c>
      <c r="H35" s="5">
        <v>46110.0</v>
      </c>
      <c r="I35" s="61"/>
      <c r="K35" s="48" t="s">
        <v>74</v>
      </c>
    </row>
    <row r="36">
      <c r="A36" s="9" t="s">
        <v>12</v>
      </c>
      <c r="B36" s="62" t="s">
        <v>31</v>
      </c>
      <c r="C36" s="11" t="s">
        <v>13</v>
      </c>
      <c r="D36" s="30" t="s">
        <v>46</v>
      </c>
      <c r="E36" s="12" t="s">
        <v>14</v>
      </c>
      <c r="F36" s="11" t="s">
        <v>13</v>
      </c>
      <c r="G36" s="30" t="s">
        <v>46</v>
      </c>
      <c r="H36" s="30" t="s">
        <v>46</v>
      </c>
      <c r="K36" s="26" t="s">
        <v>35</v>
      </c>
    </row>
    <row r="37">
      <c r="A37" s="9" t="s">
        <v>18</v>
      </c>
      <c r="B37" s="10"/>
      <c r="C37" s="10"/>
      <c r="D37" s="10"/>
      <c r="E37" s="10"/>
      <c r="F37" s="10"/>
      <c r="G37" s="10"/>
      <c r="H37" s="10"/>
      <c r="K37" s="41" t="s">
        <v>54</v>
      </c>
    </row>
    <row r="38">
      <c r="A38" s="9" t="s">
        <v>22</v>
      </c>
      <c r="B38" s="18">
        <v>19.0</v>
      </c>
      <c r="C38" s="18" t="s">
        <v>107</v>
      </c>
      <c r="D38" s="18">
        <v>8.0</v>
      </c>
      <c r="E38" s="18">
        <v>13.0</v>
      </c>
      <c r="F38" s="18" t="s">
        <v>107</v>
      </c>
      <c r="G38" s="18">
        <v>17.0</v>
      </c>
      <c r="H38" s="18" t="s">
        <v>108</v>
      </c>
      <c r="K38" s="21" t="s">
        <v>31</v>
      </c>
    </row>
    <row r="39">
      <c r="A39" s="9" t="s">
        <v>26</v>
      </c>
      <c r="B39" s="43" t="s">
        <v>62</v>
      </c>
      <c r="C39" s="31" t="s">
        <v>45</v>
      </c>
      <c r="D39" s="62" t="s">
        <v>31</v>
      </c>
      <c r="E39" s="33" t="s">
        <v>47</v>
      </c>
      <c r="F39" s="31" t="s">
        <v>45</v>
      </c>
      <c r="G39" s="47" t="s">
        <v>73</v>
      </c>
      <c r="H39" s="47" t="s">
        <v>73</v>
      </c>
      <c r="K39" s="31" t="s">
        <v>45</v>
      </c>
    </row>
    <row r="40">
      <c r="A40" s="9" t="s">
        <v>43</v>
      </c>
      <c r="B40" s="29" t="s">
        <v>44</v>
      </c>
      <c r="C40" s="41" t="s">
        <v>54</v>
      </c>
      <c r="D40" s="11" t="s">
        <v>13</v>
      </c>
      <c r="E40" s="11" t="s">
        <v>13</v>
      </c>
      <c r="F40" s="13" t="s">
        <v>15</v>
      </c>
      <c r="G40" s="24" t="s">
        <v>33</v>
      </c>
      <c r="H40" s="24" t="s">
        <v>33</v>
      </c>
      <c r="K40" s="43" t="s">
        <v>62</v>
      </c>
    </row>
    <row r="41">
      <c r="A41" s="9" t="s">
        <v>48</v>
      </c>
      <c r="C41" s="53" t="s">
        <v>79</v>
      </c>
      <c r="D41" s="10"/>
      <c r="E41" s="10"/>
      <c r="F41" s="10"/>
      <c r="G41" s="53" t="s">
        <v>79</v>
      </c>
      <c r="H41" s="10"/>
      <c r="I41" s="8"/>
    </row>
    <row r="42">
      <c r="A42" s="9" t="s">
        <v>52</v>
      </c>
      <c r="B42" s="29" t="s">
        <v>44</v>
      </c>
      <c r="C42" s="33" t="s">
        <v>47</v>
      </c>
      <c r="D42" s="14" t="s">
        <v>16</v>
      </c>
      <c r="E42" s="29" t="s">
        <v>44</v>
      </c>
      <c r="F42" s="14" t="s">
        <v>16</v>
      </c>
      <c r="G42" s="12" t="s">
        <v>14</v>
      </c>
      <c r="H42" s="29" t="s">
        <v>44</v>
      </c>
      <c r="I42" s="8"/>
    </row>
    <row r="43">
      <c r="A43" s="4"/>
      <c r="B43" s="5">
        <v>46111.0</v>
      </c>
      <c r="C43" s="5">
        <v>46112.0</v>
      </c>
      <c r="D43" s="5"/>
      <c r="E43" s="5"/>
      <c r="F43" s="5"/>
      <c r="G43" s="5"/>
      <c r="H43" s="5"/>
      <c r="I43" s="61"/>
    </row>
    <row r="44">
      <c r="A44" s="9" t="s">
        <v>12</v>
      </c>
      <c r="B44" s="62" t="s">
        <v>31</v>
      </c>
      <c r="C44" s="14" t="s">
        <v>16</v>
      </c>
      <c r="D44" s="10"/>
      <c r="E44" s="10"/>
      <c r="F44" s="10"/>
      <c r="G44" s="10"/>
      <c r="H44" s="10"/>
      <c r="I44" s="61"/>
    </row>
    <row r="45">
      <c r="A45" s="9" t="s">
        <v>18</v>
      </c>
      <c r="B45" s="10"/>
      <c r="C45" s="10"/>
      <c r="D45" s="10"/>
      <c r="E45" s="10"/>
      <c r="F45" s="10"/>
      <c r="G45" s="10"/>
      <c r="H45" s="10"/>
      <c r="I45" s="61"/>
    </row>
    <row r="46">
      <c r="A46" s="9" t="s">
        <v>22</v>
      </c>
      <c r="B46" s="18" t="s">
        <v>112</v>
      </c>
      <c r="C46" s="18">
        <v>9.0</v>
      </c>
      <c r="D46" s="18"/>
      <c r="E46" s="18"/>
      <c r="F46" s="18"/>
      <c r="G46" s="18"/>
      <c r="H46" s="18"/>
      <c r="I46" s="61"/>
    </row>
    <row r="47">
      <c r="A47" s="9" t="s">
        <v>26</v>
      </c>
      <c r="B47" s="14" t="s">
        <v>16</v>
      </c>
      <c r="C47" s="31" t="s">
        <v>45</v>
      </c>
      <c r="D47" s="74"/>
      <c r="E47" s="74"/>
      <c r="F47" s="74"/>
      <c r="G47" s="74"/>
      <c r="H47" s="74"/>
    </row>
    <row r="48">
      <c r="A48" s="9" t="s">
        <v>43</v>
      </c>
      <c r="B48" s="11" t="s">
        <v>13</v>
      </c>
      <c r="C48" s="11" t="s">
        <v>13</v>
      </c>
      <c r="D48" s="74"/>
      <c r="E48" s="74"/>
      <c r="F48" s="74"/>
      <c r="G48" s="74"/>
      <c r="H48" s="74"/>
    </row>
    <row r="49">
      <c r="A49" s="9" t="s">
        <v>48</v>
      </c>
      <c r="B49" s="74"/>
      <c r="C49" s="74"/>
      <c r="D49" s="74"/>
      <c r="E49" s="74"/>
      <c r="F49" s="74"/>
      <c r="G49" s="74"/>
      <c r="H49" s="74"/>
      <c r="I49" s="65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A50" s="9" t="s">
        <v>52</v>
      </c>
      <c r="B50" s="13" t="s">
        <v>15</v>
      </c>
      <c r="C50" s="29" t="s">
        <v>44</v>
      </c>
      <c r="D50" s="74"/>
      <c r="E50" s="74"/>
      <c r="F50" s="74"/>
      <c r="G50" s="74"/>
      <c r="H50" s="74"/>
      <c r="I50" s="65"/>
      <c r="J50" s="65"/>
      <c r="Q50" s="65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I51" s="65"/>
      <c r="J51" s="65"/>
      <c r="Q51" s="65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>
      <c r="Q52" s="65"/>
    </row>
    <row r="53">
      <c r="A53" s="29" t="s">
        <v>44</v>
      </c>
      <c r="I53" s="67"/>
      <c r="J53" s="68"/>
      <c r="R53" s="69"/>
    </row>
    <row r="54">
      <c r="A54" s="33" t="s">
        <v>47</v>
      </c>
      <c r="I54" s="61"/>
      <c r="J54" s="61"/>
      <c r="R54" s="69"/>
    </row>
    <row r="55">
      <c r="A55" s="14" t="s">
        <v>16</v>
      </c>
      <c r="I55" s="61"/>
      <c r="J55" s="61"/>
      <c r="R55" s="69"/>
    </row>
    <row r="56">
      <c r="A56" s="30" t="s">
        <v>46</v>
      </c>
      <c r="I56" s="61"/>
      <c r="J56" s="61"/>
      <c r="R56" s="69"/>
    </row>
    <row r="57">
      <c r="A57" s="11" t="s">
        <v>13</v>
      </c>
      <c r="I57" s="70"/>
      <c r="J57" s="70"/>
      <c r="R57" s="69"/>
    </row>
    <row r="58">
      <c r="A58" s="13" t="s">
        <v>15</v>
      </c>
      <c r="I58" s="71"/>
      <c r="J58" s="71"/>
      <c r="R58" s="69"/>
    </row>
    <row r="59">
      <c r="A59" s="21" t="s">
        <v>31</v>
      </c>
      <c r="I59" s="72"/>
      <c r="J59" s="72"/>
      <c r="K59" s="71"/>
      <c r="R59" s="69"/>
    </row>
    <row r="60">
      <c r="A60" s="31" t="s">
        <v>45</v>
      </c>
      <c r="K60" s="71"/>
      <c r="R60" s="69"/>
    </row>
    <row r="61">
      <c r="A61" s="43" t="s">
        <v>62</v>
      </c>
    </row>
    <row r="62">
      <c r="A62" s="47" t="s">
        <v>73</v>
      </c>
      <c r="Q62" s="73"/>
      <c r="R62" s="73"/>
    </row>
    <row r="63">
      <c r="A63" s="16" t="s">
        <v>20</v>
      </c>
      <c r="Q63" s="73"/>
      <c r="R63" s="73"/>
    </row>
    <row r="64">
      <c r="Q64" s="73"/>
      <c r="R64" s="73"/>
    </row>
    <row r="67">
      <c r="I67" s="8" t="s">
        <v>109</v>
      </c>
      <c r="J67" s="8"/>
    </row>
    <row r="73">
      <c r="F73" s="75"/>
    </row>
    <row r="74">
      <c r="F74" s="75"/>
    </row>
    <row r="75">
      <c r="F75" s="75"/>
    </row>
    <row r="76">
      <c r="F76" s="75"/>
    </row>
    <row r="77">
      <c r="F77" s="75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F83" s="75"/>
    </row>
    <row r="84">
      <c r="F84" s="75"/>
    </row>
    <row r="85">
      <c r="E85" s="66"/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  <row r="1011">
      <c r="F1011" s="75"/>
    </row>
    <row r="1012">
      <c r="F1012" s="75"/>
    </row>
    <row r="1013">
      <c r="F1013" s="75"/>
    </row>
    <row r="1014">
      <c r="F1014" s="75"/>
    </row>
    <row r="1015">
      <c r="F1015" s="75"/>
    </row>
    <row r="1016">
      <c r="F1016" s="75"/>
    </row>
    <row r="1017">
      <c r="F1017" s="75"/>
    </row>
    <row r="1018">
      <c r="F1018" s="75"/>
    </row>
    <row r="1019">
      <c r="F1019" s="75"/>
    </row>
  </sheetData>
  <mergeCells count="3">
    <mergeCell ref="L67:Q67"/>
    <mergeCell ref="L68:P68"/>
    <mergeCell ref="L69:P69"/>
  </mergeCells>
  <conditionalFormatting sqref="B2:H2 B10:H10 B18:H18 B26:H26 B35:H35 B43:H43">
    <cfRule type="expression" dxfId="0" priority="1">
      <formula>AND(TRUNC(B2)&gt;=EDATE(TODAY(),-12)+1,TRUNC(B2)&lt;=TODAY())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4.75"/>
    <col customWidth="1" min="4" max="4" width="15.5"/>
    <col customWidth="1" min="5" max="5" width="19.5"/>
    <col customWidth="1" min="6" max="6" width="18.25"/>
    <col customWidth="1" min="7" max="7" width="15.25"/>
    <col customWidth="1" min="8" max="8" width="18.25"/>
    <col customWidth="1" min="10" max="10" width="5.38"/>
    <col customWidth="1" min="11" max="11" width="17.88"/>
    <col customWidth="1" min="12" max="12" width="13.38"/>
    <col customWidth="1" min="13" max="13" width="2.63"/>
    <col customWidth="1" min="14" max="14" width="2.88"/>
    <col customWidth="1" min="15" max="15" width="2.25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</row>
    <row r="2">
      <c r="A2" s="4"/>
      <c r="B2" s="5"/>
      <c r="C2" s="5"/>
      <c r="D2" s="5">
        <v>46113.0</v>
      </c>
      <c r="E2" s="6">
        <v>46114.0</v>
      </c>
      <c r="F2" s="5">
        <v>46115.0</v>
      </c>
      <c r="G2" s="5">
        <v>46116.0</v>
      </c>
      <c r="H2" s="6">
        <v>46117.0</v>
      </c>
      <c r="I2" s="7" t="s">
        <v>10</v>
      </c>
      <c r="K2" s="8" t="s">
        <v>11</v>
      </c>
    </row>
    <row r="3">
      <c r="A3" s="9" t="s">
        <v>12</v>
      </c>
      <c r="B3" s="10"/>
      <c r="C3" s="10"/>
      <c r="D3" s="11" t="s">
        <v>13</v>
      </c>
      <c r="E3" s="12" t="s">
        <v>14</v>
      </c>
      <c r="F3" s="12" t="s">
        <v>14</v>
      </c>
      <c r="G3" s="14" t="s">
        <v>16</v>
      </c>
      <c r="H3" s="12" t="s">
        <v>14</v>
      </c>
      <c r="K3" s="8" t="s">
        <v>17</v>
      </c>
    </row>
    <row r="4">
      <c r="A4" s="9" t="s">
        <v>18</v>
      </c>
      <c r="B4" s="10"/>
      <c r="C4" s="10"/>
      <c r="D4" s="10"/>
      <c r="E4" s="10"/>
      <c r="F4" s="16" t="s">
        <v>20</v>
      </c>
      <c r="G4" s="10"/>
      <c r="H4" s="10"/>
      <c r="K4" s="8" t="s">
        <v>21</v>
      </c>
      <c r="S4" s="17"/>
      <c r="T4" s="17"/>
      <c r="U4" s="17"/>
    </row>
    <row r="5">
      <c r="A5" s="9" t="s">
        <v>22</v>
      </c>
      <c r="B5" s="18"/>
      <c r="C5" s="18"/>
      <c r="D5" s="18">
        <v>13.0</v>
      </c>
      <c r="E5" s="18" t="s">
        <v>27</v>
      </c>
      <c r="F5" s="18" t="s">
        <v>28</v>
      </c>
      <c r="G5" s="18">
        <v>19.0</v>
      </c>
      <c r="H5" s="18" t="s">
        <v>29</v>
      </c>
      <c r="K5" s="8" t="s">
        <v>25</v>
      </c>
    </row>
    <row r="6">
      <c r="A6" s="9" t="s">
        <v>26</v>
      </c>
      <c r="B6" s="10"/>
      <c r="C6" s="10"/>
      <c r="D6" s="21" t="s">
        <v>31</v>
      </c>
      <c r="E6" s="14" t="s">
        <v>16</v>
      </c>
      <c r="F6" s="14" t="s">
        <v>16</v>
      </c>
      <c r="G6" s="24" t="s">
        <v>33</v>
      </c>
      <c r="H6" s="26" t="s">
        <v>35</v>
      </c>
      <c r="J6" s="20"/>
      <c r="K6" s="23"/>
      <c r="L6" s="25" t="s">
        <v>34</v>
      </c>
      <c r="M6" s="25" t="s">
        <v>36</v>
      </c>
      <c r="N6" s="25" t="s">
        <v>37</v>
      </c>
      <c r="O6" s="25" t="s">
        <v>38</v>
      </c>
      <c r="P6" s="27" t="s">
        <v>39</v>
      </c>
      <c r="Q6" s="27" t="s">
        <v>41</v>
      </c>
      <c r="R6" s="28" t="s">
        <v>42</v>
      </c>
    </row>
    <row r="7">
      <c r="A7" s="9" t="s">
        <v>43</v>
      </c>
      <c r="B7" s="10"/>
      <c r="C7" s="10"/>
      <c r="D7" s="29" t="s">
        <v>44</v>
      </c>
      <c r="E7" s="31" t="s">
        <v>45</v>
      </c>
      <c r="F7" s="33" t="s">
        <v>47</v>
      </c>
      <c r="G7" s="16" t="s">
        <v>20</v>
      </c>
      <c r="H7" s="13" t="s">
        <v>15</v>
      </c>
      <c r="J7" s="32"/>
      <c r="K7" s="12" t="s">
        <v>14</v>
      </c>
      <c r="L7" s="8">
        <f t="shared" ref="L7:L22" si="1">sum(M7:O7)</f>
        <v>20</v>
      </c>
      <c r="M7" s="8">
        <f t="shared" ref="M7:M22" si="2">SUMPRODUCT(($A$3:$A$49=$A$3)*($B$3:$H$49=$K7))+SUMPRODUCT(($A$3:$A$49=$A$4)*($B$3:$H$49=$K7))</f>
        <v>9</v>
      </c>
      <c r="N7" s="8">
        <f t="shared" ref="N7:N22" si="3">SUMPRODUCT(($A$3:$A$49=$A$6)*($B$3:$H$49=$K7))+SUMPRODUCT(($A$3:$A$49=$A$7)*($B$3:$H$49=$K7))+SUMPRODUCT(($A$3:$A$49=$A$8)*($B$3:$H$49=$K7))</f>
        <v>0</v>
      </c>
      <c r="O7" s="8">
        <f t="shared" ref="O7:O22" si="4">SUMPRODUCT(($A$3:$A$49=$A$9)*($B$3:$H$49=$K7))</f>
        <v>11</v>
      </c>
      <c r="P7" s="34"/>
      <c r="Q7" s="17"/>
      <c r="R7" s="35">
        <f t="shared" ref="R7:R10" si="5">P7-Q7</f>
        <v>0</v>
      </c>
      <c r="S7" s="36">
        <f>(30-9)*8-2*5</f>
        <v>158</v>
      </c>
      <c r="T7" s="36">
        <f>M7*8+N7*5+O7*7</f>
        <v>149</v>
      </c>
    </row>
    <row r="8">
      <c r="A8" s="9" t="s">
        <v>48</v>
      </c>
      <c r="B8" s="10"/>
      <c r="C8" s="10"/>
      <c r="D8" s="10"/>
      <c r="E8" s="16" t="s">
        <v>20</v>
      </c>
      <c r="F8" s="38" t="s">
        <v>50</v>
      </c>
      <c r="G8" s="10"/>
      <c r="H8" s="10"/>
      <c r="J8" s="39" t="s">
        <v>36</v>
      </c>
      <c r="K8" s="29" t="s">
        <v>44</v>
      </c>
      <c r="L8" s="8">
        <f t="shared" si="1"/>
        <v>8</v>
      </c>
      <c r="M8" s="8">
        <f t="shared" si="2"/>
        <v>0</v>
      </c>
      <c r="N8" s="8">
        <f t="shared" si="3"/>
        <v>3</v>
      </c>
      <c r="O8" s="8">
        <f t="shared" si="4"/>
        <v>5</v>
      </c>
      <c r="P8" s="34"/>
      <c r="Q8" s="17"/>
      <c r="R8" s="35">
        <f t="shared" si="5"/>
        <v>0</v>
      </c>
    </row>
    <row r="9">
      <c r="A9" s="9" t="s">
        <v>52</v>
      </c>
      <c r="B9" s="10"/>
      <c r="C9" s="10"/>
      <c r="D9" s="33" t="s">
        <v>47</v>
      </c>
      <c r="E9" s="13" t="s">
        <v>15</v>
      </c>
      <c r="F9" s="13" t="s">
        <v>15</v>
      </c>
      <c r="G9" s="12" t="s">
        <v>14</v>
      </c>
      <c r="H9" s="14" t="s">
        <v>16</v>
      </c>
      <c r="I9" s="8"/>
      <c r="J9" s="39" t="s">
        <v>36</v>
      </c>
      <c r="K9" s="33" t="s">
        <v>47</v>
      </c>
      <c r="L9" s="8">
        <f t="shared" si="1"/>
        <v>8</v>
      </c>
      <c r="M9" s="8">
        <f t="shared" si="2"/>
        <v>2</v>
      </c>
      <c r="N9" s="8">
        <f t="shared" si="3"/>
        <v>3</v>
      </c>
      <c r="O9" s="8">
        <f t="shared" si="4"/>
        <v>3</v>
      </c>
      <c r="P9" s="34">
        <v>2.0</v>
      </c>
      <c r="Q9" s="17">
        <v>1.0</v>
      </c>
      <c r="R9" s="35">
        <f t="shared" si="5"/>
        <v>1</v>
      </c>
    </row>
    <row r="10">
      <c r="A10" s="4"/>
      <c r="B10" s="5">
        <v>46118.0</v>
      </c>
      <c r="C10" s="5">
        <v>46119.0</v>
      </c>
      <c r="D10" s="5">
        <v>46120.0</v>
      </c>
      <c r="E10" s="5">
        <v>46121.0</v>
      </c>
      <c r="F10" s="5">
        <v>46122.0</v>
      </c>
      <c r="G10" s="5">
        <v>46123.0</v>
      </c>
      <c r="H10" s="6">
        <v>46124.0</v>
      </c>
      <c r="I10" s="8"/>
      <c r="J10" s="39" t="s">
        <v>36</v>
      </c>
      <c r="K10" s="14" t="s">
        <v>16</v>
      </c>
      <c r="L10" s="8">
        <f t="shared" si="1"/>
        <v>15</v>
      </c>
      <c r="M10" s="8">
        <f t="shared" si="2"/>
        <v>9</v>
      </c>
      <c r="N10" s="8">
        <f t="shared" si="3"/>
        <v>4</v>
      </c>
      <c r="O10" s="8">
        <f t="shared" si="4"/>
        <v>2</v>
      </c>
      <c r="P10" s="34">
        <v>5.0</v>
      </c>
      <c r="Q10" s="17">
        <f>4</f>
        <v>4</v>
      </c>
      <c r="R10" s="35">
        <f t="shared" si="5"/>
        <v>1</v>
      </c>
    </row>
    <row r="11">
      <c r="A11" s="9" t="s">
        <v>12</v>
      </c>
      <c r="B11" s="13" t="s">
        <v>15</v>
      </c>
      <c r="C11" s="14" t="s">
        <v>16</v>
      </c>
      <c r="D11" s="30" t="s">
        <v>46</v>
      </c>
      <c r="E11" s="13" t="s">
        <v>15</v>
      </c>
      <c r="F11" s="33" t="s">
        <v>47</v>
      </c>
      <c r="G11" s="14" t="s">
        <v>16</v>
      </c>
      <c r="H11" s="30" t="s">
        <v>46</v>
      </c>
      <c r="I11" s="8"/>
      <c r="J11" s="39" t="s">
        <v>36</v>
      </c>
      <c r="K11" s="30" t="s">
        <v>46</v>
      </c>
      <c r="L11" s="8">
        <f t="shared" si="1"/>
        <v>4</v>
      </c>
      <c r="M11" s="8">
        <f t="shared" si="2"/>
        <v>2</v>
      </c>
      <c r="N11" s="8">
        <f t="shared" si="3"/>
        <v>1</v>
      </c>
      <c r="O11" s="8">
        <f t="shared" si="4"/>
        <v>1</v>
      </c>
      <c r="P11" s="34"/>
    </row>
    <row r="12">
      <c r="A12" s="9" t="s">
        <v>18</v>
      </c>
      <c r="B12" s="10"/>
      <c r="C12" s="10"/>
      <c r="D12" s="10"/>
      <c r="E12" s="10"/>
      <c r="F12" s="10"/>
      <c r="G12" s="10"/>
      <c r="H12" s="10"/>
      <c r="J12" s="39" t="s">
        <v>36</v>
      </c>
      <c r="K12" s="13" t="s">
        <v>15</v>
      </c>
      <c r="L12" s="8">
        <f t="shared" si="1"/>
        <v>14</v>
      </c>
      <c r="M12" s="8">
        <f t="shared" si="2"/>
        <v>6</v>
      </c>
      <c r="N12" s="8">
        <f t="shared" si="3"/>
        <v>5</v>
      </c>
      <c r="O12" s="8">
        <f t="shared" si="4"/>
        <v>3</v>
      </c>
      <c r="P12" s="34">
        <v>4.0</v>
      </c>
      <c r="Q12" s="17">
        <v>3.0</v>
      </c>
      <c r="R12" s="35">
        <f t="shared" ref="R12:R23" si="6">P12-Q12</f>
        <v>1</v>
      </c>
    </row>
    <row r="13">
      <c r="A13" s="9" t="s">
        <v>22</v>
      </c>
      <c r="B13" s="18">
        <v>16.0</v>
      </c>
      <c r="C13" s="18">
        <v>10.0</v>
      </c>
      <c r="D13" s="18">
        <v>13.0</v>
      </c>
      <c r="E13" s="18">
        <v>13.0</v>
      </c>
      <c r="F13" s="18">
        <v>6.0</v>
      </c>
      <c r="G13" s="18">
        <v>15.0</v>
      </c>
      <c r="H13" s="18">
        <v>20.0</v>
      </c>
      <c r="J13" s="39" t="s">
        <v>36</v>
      </c>
      <c r="K13" s="11" t="s">
        <v>13</v>
      </c>
      <c r="L13" s="8">
        <f t="shared" si="1"/>
        <v>3</v>
      </c>
      <c r="M13" s="8">
        <f t="shared" si="2"/>
        <v>1</v>
      </c>
      <c r="N13" s="8">
        <f t="shared" si="3"/>
        <v>0</v>
      </c>
      <c r="O13" s="8">
        <f t="shared" si="4"/>
        <v>2</v>
      </c>
      <c r="P13" s="34"/>
      <c r="Q13" s="17"/>
      <c r="R13" s="35">
        <f t="shared" si="6"/>
        <v>0</v>
      </c>
      <c r="V13" s="44"/>
    </row>
    <row r="14">
      <c r="A14" s="9" t="s">
        <v>26</v>
      </c>
      <c r="B14" s="45" t="s">
        <v>67</v>
      </c>
      <c r="C14" s="45" t="s">
        <v>67</v>
      </c>
      <c r="D14" s="16" t="s">
        <v>20</v>
      </c>
      <c r="E14" s="43" t="s">
        <v>62</v>
      </c>
      <c r="F14" s="21" t="s">
        <v>31</v>
      </c>
      <c r="G14" s="24" t="s">
        <v>33</v>
      </c>
      <c r="H14" s="24" t="s">
        <v>33</v>
      </c>
      <c r="J14" s="39"/>
      <c r="K14" s="26" t="s">
        <v>35</v>
      </c>
      <c r="L14" s="8">
        <f t="shared" si="1"/>
        <v>2</v>
      </c>
      <c r="M14" s="8">
        <f t="shared" si="2"/>
        <v>0</v>
      </c>
      <c r="N14" s="8">
        <f t="shared" si="3"/>
        <v>2</v>
      </c>
      <c r="O14" s="8">
        <f t="shared" si="4"/>
        <v>0</v>
      </c>
      <c r="P14" s="34"/>
      <c r="Q14" s="17"/>
      <c r="R14" s="35">
        <f t="shared" si="6"/>
        <v>0</v>
      </c>
    </row>
    <row r="15">
      <c r="A15" s="9" t="s">
        <v>43</v>
      </c>
      <c r="B15" s="21" t="s">
        <v>31</v>
      </c>
      <c r="C15" s="13" t="s">
        <v>15</v>
      </c>
      <c r="D15" s="31" t="s">
        <v>45</v>
      </c>
      <c r="E15" s="16" t="s">
        <v>20</v>
      </c>
      <c r="F15" s="38" t="s">
        <v>50</v>
      </c>
      <c r="G15" s="13" t="s">
        <v>15</v>
      </c>
      <c r="H15" s="14" t="s">
        <v>16</v>
      </c>
      <c r="J15" s="39" t="s">
        <v>36</v>
      </c>
      <c r="K15" s="21" t="s">
        <v>31</v>
      </c>
      <c r="L15" s="8">
        <f t="shared" si="1"/>
        <v>8</v>
      </c>
      <c r="M15" s="8">
        <f t="shared" si="2"/>
        <v>0</v>
      </c>
      <c r="N15" s="8">
        <f t="shared" si="3"/>
        <v>5</v>
      </c>
      <c r="O15" s="8">
        <f t="shared" si="4"/>
        <v>3</v>
      </c>
      <c r="P15" s="34">
        <v>2.0</v>
      </c>
      <c r="Q15" s="17"/>
      <c r="R15" s="35">
        <f t="shared" si="6"/>
        <v>2</v>
      </c>
    </row>
    <row r="16" ht="20.25" customHeight="1">
      <c r="A16" s="9" t="s">
        <v>48</v>
      </c>
      <c r="B16" s="31" t="s">
        <v>45</v>
      </c>
      <c r="C16" s="10"/>
      <c r="D16" s="10"/>
      <c r="E16" s="10"/>
      <c r="F16" s="10"/>
      <c r="G16" s="10"/>
      <c r="H16" s="26" t="s">
        <v>35</v>
      </c>
      <c r="J16" s="32"/>
      <c r="K16" s="31" t="s">
        <v>45</v>
      </c>
      <c r="L16" s="8">
        <f t="shared" si="1"/>
        <v>6</v>
      </c>
      <c r="M16" s="8">
        <f t="shared" si="2"/>
        <v>0</v>
      </c>
      <c r="N16" s="8">
        <f t="shared" si="3"/>
        <v>6</v>
      </c>
      <c r="O16" s="8">
        <f t="shared" si="4"/>
        <v>0</v>
      </c>
      <c r="P16" s="34"/>
      <c r="Q16" s="17"/>
      <c r="R16" s="35">
        <f t="shared" si="6"/>
        <v>0</v>
      </c>
    </row>
    <row r="17">
      <c r="A17" s="9" t="s">
        <v>52</v>
      </c>
      <c r="B17" s="12" t="s">
        <v>14</v>
      </c>
      <c r="C17" s="29" t="s">
        <v>44</v>
      </c>
      <c r="D17" s="12" t="s">
        <v>14</v>
      </c>
      <c r="E17" s="30" t="s">
        <v>46</v>
      </c>
      <c r="F17" s="12" t="s">
        <v>14</v>
      </c>
      <c r="G17" s="12" t="s">
        <v>14</v>
      </c>
      <c r="H17" s="33" t="s">
        <v>47</v>
      </c>
      <c r="J17" s="39" t="s">
        <v>36</v>
      </c>
      <c r="K17" s="43" t="s">
        <v>62</v>
      </c>
      <c r="L17" s="8">
        <f t="shared" si="1"/>
        <v>3</v>
      </c>
      <c r="M17" s="8">
        <f t="shared" si="2"/>
        <v>0</v>
      </c>
      <c r="N17" s="8">
        <f t="shared" si="3"/>
        <v>3</v>
      </c>
      <c r="O17" s="8">
        <f t="shared" si="4"/>
        <v>0</v>
      </c>
      <c r="P17" s="34"/>
      <c r="Q17" s="17"/>
      <c r="R17" s="35">
        <f t="shared" si="6"/>
        <v>0</v>
      </c>
    </row>
    <row r="18">
      <c r="A18" s="4"/>
      <c r="B18" s="5">
        <v>46125.0</v>
      </c>
      <c r="C18" s="5">
        <v>46126.0</v>
      </c>
      <c r="D18" s="5">
        <v>46127.0</v>
      </c>
      <c r="E18" s="5">
        <v>46128.0</v>
      </c>
      <c r="F18" s="5">
        <v>46129.0</v>
      </c>
      <c r="G18" s="5">
        <v>46130.0</v>
      </c>
      <c r="H18" s="6">
        <v>46131.0</v>
      </c>
      <c r="J18" s="32"/>
      <c r="K18" s="24" t="s">
        <v>33</v>
      </c>
      <c r="L18" s="8">
        <f t="shared" si="1"/>
        <v>6</v>
      </c>
      <c r="M18" s="8">
        <f t="shared" si="2"/>
        <v>0</v>
      </c>
      <c r="N18" s="8">
        <f t="shared" si="3"/>
        <v>6</v>
      </c>
      <c r="O18" s="8">
        <f t="shared" si="4"/>
        <v>0</v>
      </c>
      <c r="P18" s="34">
        <v>2.0</v>
      </c>
      <c r="Q18" s="17"/>
      <c r="R18" s="35">
        <f t="shared" si="6"/>
        <v>2</v>
      </c>
    </row>
    <row r="19">
      <c r="A19" s="9" t="s">
        <v>12</v>
      </c>
      <c r="B19" s="12" t="s">
        <v>14</v>
      </c>
      <c r="C19" s="14" t="s">
        <v>16</v>
      </c>
      <c r="D19" s="14" t="s">
        <v>16</v>
      </c>
      <c r="E19" s="12" t="s">
        <v>14</v>
      </c>
      <c r="F19" s="12" t="s">
        <v>14</v>
      </c>
      <c r="G19" s="45" t="s">
        <v>67</v>
      </c>
      <c r="H19" s="14" t="s">
        <v>16</v>
      </c>
      <c r="J19" s="32"/>
      <c r="K19" s="38" t="s">
        <v>50</v>
      </c>
      <c r="L19" s="8">
        <f t="shared" si="1"/>
        <v>11</v>
      </c>
      <c r="M19" s="8">
        <f t="shared" si="2"/>
        <v>0</v>
      </c>
      <c r="N19" s="8">
        <f t="shared" si="3"/>
        <v>11</v>
      </c>
      <c r="O19" s="8">
        <f t="shared" si="4"/>
        <v>0</v>
      </c>
      <c r="P19" s="34">
        <v>3.0</v>
      </c>
      <c r="Q19" s="17"/>
      <c r="R19" s="35">
        <f t="shared" si="6"/>
        <v>3</v>
      </c>
    </row>
    <row r="20">
      <c r="A20" s="9" t="s">
        <v>18</v>
      </c>
      <c r="B20" s="10"/>
      <c r="C20" s="10"/>
      <c r="D20" s="10"/>
      <c r="E20" s="10"/>
      <c r="F20" s="10"/>
      <c r="G20" s="10"/>
      <c r="H20" s="10"/>
      <c r="J20" s="39" t="s">
        <v>36</v>
      </c>
      <c r="K20" s="45" t="s">
        <v>67</v>
      </c>
      <c r="L20" s="8">
        <f t="shared" si="1"/>
        <v>8</v>
      </c>
      <c r="M20" s="8">
        <f t="shared" si="2"/>
        <v>1</v>
      </c>
      <c r="N20" s="8">
        <f t="shared" si="3"/>
        <v>7</v>
      </c>
      <c r="O20" s="8">
        <f t="shared" si="4"/>
        <v>0</v>
      </c>
      <c r="P20" s="34">
        <v>2.0</v>
      </c>
      <c r="Q20" s="17"/>
      <c r="R20" s="35">
        <f t="shared" si="6"/>
        <v>2</v>
      </c>
      <c r="S20" s="8"/>
    </row>
    <row r="21">
      <c r="A21" s="9" t="s">
        <v>22</v>
      </c>
      <c r="B21" s="18">
        <v>19.0</v>
      </c>
      <c r="C21" s="18" t="s">
        <v>77</v>
      </c>
      <c r="D21" s="18" t="s">
        <v>78</v>
      </c>
      <c r="E21" s="18">
        <v>14.0</v>
      </c>
      <c r="F21" s="18">
        <v>9.0</v>
      </c>
      <c r="G21" s="18">
        <v>16.0</v>
      </c>
      <c r="H21" s="18">
        <v>28.0</v>
      </c>
      <c r="J21" s="32"/>
      <c r="K21" s="53" t="s">
        <v>79</v>
      </c>
      <c r="L21" s="8">
        <f t="shared" si="1"/>
        <v>4</v>
      </c>
      <c r="M21" s="8">
        <f t="shared" si="2"/>
        <v>1</v>
      </c>
      <c r="N21" s="8">
        <f t="shared" si="3"/>
        <v>3</v>
      </c>
      <c r="O21" s="8">
        <f t="shared" si="4"/>
        <v>0</v>
      </c>
      <c r="P21" s="34"/>
      <c r="Q21" s="17"/>
      <c r="R21" s="35">
        <f t="shared" si="6"/>
        <v>0</v>
      </c>
    </row>
    <row r="22">
      <c r="A22" s="9" t="s">
        <v>26</v>
      </c>
      <c r="B22" s="16" t="s">
        <v>20</v>
      </c>
      <c r="C22" s="31" t="s">
        <v>45</v>
      </c>
      <c r="D22" s="38" t="s">
        <v>50</v>
      </c>
      <c r="E22" s="31" t="s">
        <v>45</v>
      </c>
      <c r="F22" s="21" t="s">
        <v>31</v>
      </c>
      <c r="G22" s="16" t="s">
        <v>20</v>
      </c>
      <c r="H22" s="24" t="s">
        <v>33</v>
      </c>
      <c r="I22" s="8" t="s">
        <v>0</v>
      </c>
      <c r="J22" s="32"/>
      <c r="K22" s="16" t="s">
        <v>20</v>
      </c>
      <c r="L22" s="8">
        <f t="shared" si="1"/>
        <v>9</v>
      </c>
      <c r="M22" s="8">
        <f t="shared" si="2"/>
        <v>1</v>
      </c>
      <c r="N22" s="8">
        <f t="shared" si="3"/>
        <v>8</v>
      </c>
      <c r="O22" s="8">
        <f t="shared" si="4"/>
        <v>0</v>
      </c>
      <c r="P22" s="34">
        <v>3.0</v>
      </c>
      <c r="Q22" s="17"/>
      <c r="R22" s="35">
        <f t="shared" si="6"/>
        <v>3</v>
      </c>
    </row>
    <row r="23">
      <c r="A23" s="9" t="s">
        <v>43</v>
      </c>
      <c r="B23" s="38" t="s">
        <v>50</v>
      </c>
      <c r="C23" s="33" t="s">
        <v>47</v>
      </c>
      <c r="D23" s="10"/>
      <c r="E23" s="45" t="s">
        <v>67</v>
      </c>
      <c r="F23" s="38" t="s">
        <v>50</v>
      </c>
      <c r="G23" s="38" t="s">
        <v>50</v>
      </c>
      <c r="H23" s="13" t="s">
        <v>15</v>
      </c>
      <c r="I23" s="8" t="s">
        <v>0</v>
      </c>
      <c r="J23" s="32"/>
      <c r="Q23" s="17"/>
      <c r="R23" s="35">
        <f t="shared" si="6"/>
        <v>0</v>
      </c>
    </row>
    <row r="24">
      <c r="A24" s="9" t="s">
        <v>48</v>
      </c>
      <c r="B24" s="53" t="s">
        <v>79</v>
      </c>
      <c r="C24" s="10"/>
      <c r="D24" s="10"/>
      <c r="E24" s="10"/>
      <c r="F24" s="10"/>
      <c r="G24" s="10"/>
      <c r="H24" s="43" t="s">
        <v>62</v>
      </c>
      <c r="I24" s="8" t="s">
        <v>0</v>
      </c>
      <c r="J24" s="32"/>
      <c r="R24" s="35"/>
    </row>
    <row r="25">
      <c r="A25" s="9" t="s">
        <v>52</v>
      </c>
      <c r="B25" s="21" t="s">
        <v>31</v>
      </c>
      <c r="C25" s="13" t="s">
        <v>15</v>
      </c>
      <c r="D25" s="12" t="s">
        <v>14</v>
      </c>
      <c r="E25" s="14" t="s">
        <v>16</v>
      </c>
      <c r="F25" s="11" t="s">
        <v>13</v>
      </c>
      <c r="G25" s="12" t="s">
        <v>14</v>
      </c>
      <c r="H25" s="12" t="s">
        <v>14</v>
      </c>
      <c r="J25" s="32"/>
      <c r="R25" s="35"/>
    </row>
    <row r="26">
      <c r="A26" s="4"/>
      <c r="B26" s="5">
        <v>46132.0</v>
      </c>
      <c r="C26" s="5">
        <v>46133.0</v>
      </c>
      <c r="D26" s="5">
        <v>46134.0</v>
      </c>
      <c r="E26" s="5">
        <v>46135.0</v>
      </c>
      <c r="F26" s="5">
        <v>46136.0</v>
      </c>
      <c r="G26" s="5">
        <v>46137.0</v>
      </c>
      <c r="H26" s="6">
        <v>46138.0</v>
      </c>
      <c r="I26" s="55"/>
      <c r="J26" s="32"/>
      <c r="R26" s="35"/>
      <c r="T26" s="56"/>
      <c r="U26" s="56"/>
    </row>
    <row r="27">
      <c r="A27" s="9" t="s">
        <v>12</v>
      </c>
      <c r="B27" s="14" t="s">
        <v>16</v>
      </c>
      <c r="C27" s="13" t="s">
        <v>15</v>
      </c>
      <c r="D27" s="12" t="s">
        <v>14</v>
      </c>
      <c r="E27" s="14" t="s">
        <v>16</v>
      </c>
      <c r="F27" s="33" t="s">
        <v>47</v>
      </c>
      <c r="G27" s="13" t="s">
        <v>15</v>
      </c>
      <c r="H27" s="12" t="s">
        <v>14</v>
      </c>
      <c r="J27" s="32"/>
      <c r="R27" s="35"/>
      <c r="AA27" s="57"/>
    </row>
    <row r="28">
      <c r="A28" s="9" t="s">
        <v>18</v>
      </c>
      <c r="B28" s="10"/>
      <c r="C28" s="10"/>
      <c r="D28" s="10"/>
      <c r="E28" s="10"/>
      <c r="F28" s="10"/>
      <c r="G28" s="10"/>
      <c r="H28" s="53" t="s">
        <v>79</v>
      </c>
      <c r="I28" s="8" t="s">
        <v>87</v>
      </c>
      <c r="J28" s="58"/>
      <c r="K28" s="59"/>
      <c r="L28" s="59"/>
      <c r="M28" s="59"/>
      <c r="N28" s="59"/>
      <c r="O28" s="59"/>
      <c r="P28" s="59"/>
      <c r="Q28" s="59"/>
      <c r="R28" s="60"/>
    </row>
    <row r="29">
      <c r="A29" s="9" t="s">
        <v>22</v>
      </c>
      <c r="B29" s="18">
        <v>20.0</v>
      </c>
      <c r="C29" s="18">
        <v>9.0</v>
      </c>
      <c r="D29" s="18" t="s">
        <v>89</v>
      </c>
      <c r="E29" s="18">
        <v>9.0</v>
      </c>
      <c r="F29" s="18">
        <v>3.0</v>
      </c>
      <c r="G29" s="18" t="s">
        <v>90</v>
      </c>
      <c r="H29" s="18" t="s">
        <v>91</v>
      </c>
      <c r="I29" s="55"/>
    </row>
    <row r="30">
      <c r="A30" s="9" t="s">
        <v>26</v>
      </c>
      <c r="B30" s="53" t="s">
        <v>79</v>
      </c>
      <c r="C30" s="29" t="s">
        <v>44</v>
      </c>
      <c r="D30" s="45" t="s">
        <v>67</v>
      </c>
      <c r="E30" s="45" t="s">
        <v>67</v>
      </c>
      <c r="F30" s="16" t="s">
        <v>20</v>
      </c>
      <c r="G30" s="24" t="s">
        <v>33</v>
      </c>
      <c r="H30" s="24" t="s">
        <v>33</v>
      </c>
      <c r="I30" s="55"/>
      <c r="K30" s="8" t="s">
        <v>92</v>
      </c>
    </row>
    <row r="31">
      <c r="A31" s="9" t="s">
        <v>43</v>
      </c>
      <c r="B31" s="31" t="s">
        <v>45</v>
      </c>
      <c r="C31" s="38" t="s">
        <v>50</v>
      </c>
      <c r="D31" s="13" t="s">
        <v>15</v>
      </c>
      <c r="E31" s="30" t="s">
        <v>46</v>
      </c>
      <c r="F31" s="21" t="s">
        <v>31</v>
      </c>
      <c r="G31" s="43" t="s">
        <v>62</v>
      </c>
      <c r="H31" s="38" t="s">
        <v>50</v>
      </c>
      <c r="I31" s="55"/>
      <c r="K31" s="33" t="s">
        <v>47</v>
      </c>
    </row>
    <row r="32">
      <c r="A32" s="9" t="s">
        <v>48</v>
      </c>
      <c r="B32" s="45" t="s">
        <v>67</v>
      </c>
      <c r="C32" s="10"/>
      <c r="D32" s="10"/>
      <c r="E32" s="10"/>
      <c r="F32" s="10"/>
      <c r="G32" s="10"/>
      <c r="H32" s="45" t="s">
        <v>67</v>
      </c>
      <c r="I32" s="55"/>
      <c r="K32" s="14" t="s">
        <v>16</v>
      </c>
    </row>
    <row r="33">
      <c r="A33" s="9" t="s">
        <v>52</v>
      </c>
      <c r="B33" s="21" t="s">
        <v>31</v>
      </c>
      <c r="C33" s="33" t="s">
        <v>47</v>
      </c>
      <c r="D33" s="29" t="s">
        <v>44</v>
      </c>
      <c r="E33" s="12" t="s">
        <v>14</v>
      </c>
      <c r="F33" s="29" t="s">
        <v>44</v>
      </c>
      <c r="G33" s="11" t="s">
        <v>13</v>
      </c>
      <c r="H33" s="29" t="s">
        <v>44</v>
      </c>
      <c r="K33" s="30" t="s">
        <v>46</v>
      </c>
    </row>
    <row r="34">
      <c r="A34" s="4"/>
      <c r="B34" s="5">
        <v>46139.0</v>
      </c>
      <c r="C34" s="5">
        <v>46140.0</v>
      </c>
      <c r="D34" s="5">
        <v>46141.0</v>
      </c>
      <c r="E34" s="5">
        <v>46142.0</v>
      </c>
      <c r="F34" s="5"/>
      <c r="G34" s="5"/>
      <c r="H34" s="5"/>
      <c r="I34" s="61"/>
      <c r="K34" s="13" t="s">
        <v>15</v>
      </c>
    </row>
    <row r="35">
      <c r="A35" s="9" t="s">
        <v>12</v>
      </c>
      <c r="B35" s="12" t="s">
        <v>14</v>
      </c>
      <c r="C35" s="13" t="s">
        <v>15</v>
      </c>
      <c r="D35" s="13" t="s">
        <v>15</v>
      </c>
      <c r="E35" s="14" t="s">
        <v>16</v>
      </c>
      <c r="F35" s="10"/>
      <c r="G35" s="10"/>
      <c r="H35" s="10"/>
      <c r="K35" s="11" t="s">
        <v>13</v>
      </c>
    </row>
    <row r="36">
      <c r="A36" s="9" t="s">
        <v>18</v>
      </c>
      <c r="B36" s="10"/>
      <c r="C36" s="10"/>
      <c r="D36" s="10"/>
      <c r="E36" s="10"/>
      <c r="F36" s="10"/>
      <c r="G36" s="10"/>
      <c r="H36" s="10"/>
      <c r="K36" s="21" t="s">
        <v>31</v>
      </c>
    </row>
    <row r="37">
      <c r="A37" s="9" t="s">
        <v>22</v>
      </c>
      <c r="B37" s="18" t="s">
        <v>93</v>
      </c>
      <c r="C37" s="18" t="s">
        <v>94</v>
      </c>
      <c r="D37" s="18">
        <v>6.0</v>
      </c>
      <c r="E37" s="18">
        <v>13.0</v>
      </c>
      <c r="F37" s="18"/>
      <c r="G37" s="18"/>
      <c r="H37" s="18"/>
      <c r="K37" s="43" t="s">
        <v>62</v>
      </c>
    </row>
    <row r="38">
      <c r="A38" s="9" t="s">
        <v>26</v>
      </c>
      <c r="B38" s="53" t="s">
        <v>79</v>
      </c>
      <c r="C38" s="33" t="s">
        <v>47</v>
      </c>
      <c r="D38" s="38" t="s">
        <v>50</v>
      </c>
      <c r="E38" s="38" t="s">
        <v>50</v>
      </c>
      <c r="F38" s="10"/>
      <c r="G38" s="10"/>
      <c r="H38" s="10"/>
      <c r="K38" s="45" t="s">
        <v>67</v>
      </c>
    </row>
    <row r="39">
      <c r="A39" s="9" t="s">
        <v>43</v>
      </c>
      <c r="B39" s="38" t="s">
        <v>50</v>
      </c>
      <c r="C39" s="16" t="s">
        <v>20</v>
      </c>
      <c r="D39" s="14" t="s">
        <v>16</v>
      </c>
      <c r="E39" s="29" t="s">
        <v>44</v>
      </c>
      <c r="F39" s="10"/>
      <c r="G39" s="10"/>
      <c r="H39" s="10"/>
    </row>
    <row r="40">
      <c r="A40" s="9" t="s">
        <v>48</v>
      </c>
      <c r="C40" s="10"/>
      <c r="D40" s="10"/>
      <c r="E40" s="10"/>
      <c r="F40" s="10"/>
      <c r="G40" s="10"/>
      <c r="H40" s="10"/>
      <c r="I40" s="8"/>
    </row>
    <row r="41">
      <c r="A41" s="9" t="s">
        <v>52</v>
      </c>
      <c r="B41" s="21" t="s">
        <v>31</v>
      </c>
      <c r="C41" s="29" t="s">
        <v>44</v>
      </c>
      <c r="D41" s="12" t="s">
        <v>14</v>
      </c>
      <c r="E41" s="12" t="s">
        <v>14</v>
      </c>
      <c r="F41" s="10"/>
      <c r="G41" s="10"/>
      <c r="H41" s="10"/>
      <c r="I41" s="8"/>
    </row>
    <row r="42">
      <c r="A42" s="4"/>
      <c r="B42" s="5"/>
      <c r="C42" s="5"/>
      <c r="D42" s="5"/>
      <c r="E42" s="5"/>
      <c r="F42" s="5"/>
      <c r="G42" s="5"/>
      <c r="H42" s="5"/>
      <c r="I42" s="61"/>
    </row>
    <row r="43">
      <c r="A43" s="9" t="s">
        <v>12</v>
      </c>
      <c r="B43" s="10"/>
      <c r="C43" s="10"/>
      <c r="D43" s="10"/>
      <c r="E43" s="10"/>
      <c r="F43" s="10"/>
      <c r="G43" s="10"/>
      <c r="H43" s="10"/>
      <c r="I43" s="61"/>
    </row>
    <row r="44">
      <c r="A44" s="9" t="s">
        <v>18</v>
      </c>
      <c r="B44" s="10"/>
      <c r="C44" s="10"/>
      <c r="D44" s="10"/>
      <c r="E44" s="10"/>
      <c r="F44" s="10"/>
      <c r="G44" s="10"/>
      <c r="H44" s="10"/>
      <c r="I44" s="61"/>
    </row>
    <row r="45">
      <c r="A45" s="9" t="s">
        <v>22</v>
      </c>
      <c r="B45" s="18"/>
      <c r="C45" s="18"/>
      <c r="D45" s="18" t="s">
        <v>98</v>
      </c>
      <c r="E45" s="18"/>
      <c r="F45" s="18"/>
      <c r="G45" s="18"/>
      <c r="H45" s="18"/>
      <c r="I45" s="61"/>
    </row>
    <row r="46">
      <c r="A46" s="9" t="s">
        <v>26</v>
      </c>
      <c r="B46" s="10"/>
      <c r="C46" s="10"/>
      <c r="D46" s="10"/>
      <c r="E46" s="10"/>
      <c r="F46" s="10"/>
      <c r="G46" s="10"/>
      <c r="H46" s="10"/>
    </row>
    <row r="47">
      <c r="A47" s="9" t="s">
        <v>43</v>
      </c>
      <c r="B47" s="10"/>
      <c r="C47" s="10"/>
      <c r="D47" s="10"/>
      <c r="E47" s="10"/>
      <c r="F47" s="10"/>
      <c r="G47" s="10"/>
      <c r="H47" s="10"/>
    </row>
    <row r="48">
      <c r="A48" s="9" t="s">
        <v>48</v>
      </c>
      <c r="B48" s="10"/>
      <c r="C48" s="10"/>
      <c r="D48" s="10"/>
      <c r="E48" s="10"/>
      <c r="F48" s="10"/>
      <c r="G48" s="10"/>
      <c r="H48" s="10"/>
      <c r="I48" s="6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>
      <c r="A49" s="9" t="s">
        <v>52</v>
      </c>
      <c r="B49" s="10"/>
      <c r="C49" s="10"/>
      <c r="D49" s="10"/>
      <c r="E49" s="10"/>
      <c r="F49" s="10"/>
      <c r="G49" s="10"/>
      <c r="H49" s="10"/>
      <c r="I49" s="65"/>
      <c r="J49" s="65"/>
      <c r="Q49" s="65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I50" s="65"/>
      <c r="J50" s="65"/>
      <c r="Q50" s="65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Q51" s="65"/>
    </row>
    <row r="52">
      <c r="I52" s="67"/>
      <c r="J52" s="68"/>
      <c r="R52" s="69"/>
    </row>
    <row r="53">
      <c r="I53" s="61"/>
      <c r="J53" s="61"/>
      <c r="R53" s="69"/>
    </row>
    <row r="54">
      <c r="I54" s="61"/>
      <c r="J54" s="61"/>
      <c r="R54" s="69"/>
    </row>
    <row r="55">
      <c r="I55" s="61"/>
      <c r="J55" s="61"/>
      <c r="R55" s="69"/>
    </row>
    <row r="56">
      <c r="I56" s="70"/>
      <c r="J56" s="70"/>
      <c r="R56" s="69"/>
    </row>
    <row r="57">
      <c r="I57" s="71"/>
      <c r="J57" s="71"/>
      <c r="R57" s="69"/>
    </row>
    <row r="58">
      <c r="I58" s="72"/>
      <c r="J58" s="72"/>
      <c r="K58" s="71"/>
      <c r="R58" s="69"/>
    </row>
    <row r="59">
      <c r="K59" s="71"/>
      <c r="R59" s="69"/>
    </row>
    <row r="61">
      <c r="Q61" s="73"/>
      <c r="R61" s="73"/>
    </row>
    <row r="62">
      <c r="Q62" s="73"/>
      <c r="R62" s="73"/>
    </row>
    <row r="63">
      <c r="Q63" s="73"/>
      <c r="R63" s="73"/>
    </row>
    <row r="66">
      <c r="I66" s="8" t="s">
        <v>109</v>
      </c>
      <c r="J66" s="8"/>
    </row>
    <row r="72">
      <c r="F72" s="75"/>
    </row>
    <row r="73">
      <c r="F73" s="75"/>
    </row>
    <row r="74">
      <c r="F74" s="75"/>
    </row>
    <row r="75">
      <c r="F75" s="75"/>
    </row>
    <row r="76">
      <c r="F76" s="75"/>
    </row>
    <row r="77">
      <c r="F77" s="75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F83" s="75"/>
    </row>
    <row r="84">
      <c r="E84" s="66"/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  <row r="1011">
      <c r="F1011" s="75"/>
    </row>
    <row r="1012">
      <c r="F1012" s="75"/>
    </row>
    <row r="1013">
      <c r="F1013" s="75"/>
    </row>
    <row r="1014">
      <c r="F1014" s="75"/>
    </row>
    <row r="1015">
      <c r="F1015" s="75"/>
    </row>
    <row r="1016">
      <c r="F1016" s="75"/>
    </row>
    <row r="1017">
      <c r="F1017" s="75"/>
    </row>
    <row r="1018">
      <c r="F1018" s="75"/>
    </row>
  </sheetData>
  <mergeCells count="3">
    <mergeCell ref="L66:Q66"/>
    <mergeCell ref="L67:P67"/>
    <mergeCell ref="L68:P68"/>
  </mergeCells>
  <conditionalFormatting sqref="B2:H2 B10:H10 B18:H18 B26:H26 B34:H34 B42:H42">
    <cfRule type="expression" dxfId="0" priority="1">
      <formula>AND(TRUNC(B2)&gt;=EDATE(TODAY(),-12)+1,TRUNC(B2)&lt;=TODAY())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4.75"/>
    <col customWidth="1" min="4" max="4" width="15.5"/>
    <col customWidth="1" min="5" max="5" width="19.5"/>
    <col customWidth="1" min="6" max="6" width="18.25"/>
    <col customWidth="1" min="7" max="7" width="17.75"/>
    <col customWidth="1" min="8" max="8" width="18.25"/>
    <col customWidth="1" min="10" max="10" width="5.38"/>
    <col customWidth="1" min="11" max="11" width="17.88"/>
    <col customWidth="1" min="12" max="12" width="13.38"/>
    <col customWidth="1" min="13" max="13" width="2.63"/>
    <col customWidth="1" min="14" max="14" width="2.88"/>
    <col customWidth="1" min="15" max="15" width="2.25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</row>
    <row r="2">
      <c r="A2" s="4"/>
      <c r="B2" s="5"/>
      <c r="C2" s="5"/>
      <c r="D2" s="5"/>
      <c r="E2" s="5"/>
      <c r="F2" s="5">
        <v>46143.0</v>
      </c>
      <c r="G2" s="5">
        <v>46144.0</v>
      </c>
      <c r="H2" s="5">
        <v>46145.0</v>
      </c>
      <c r="I2" s="7" t="s">
        <v>10</v>
      </c>
      <c r="K2" s="8" t="s">
        <v>11</v>
      </c>
    </row>
    <row r="3">
      <c r="A3" s="9" t="s">
        <v>12</v>
      </c>
      <c r="B3" s="10"/>
      <c r="C3" s="10"/>
      <c r="D3" s="10"/>
      <c r="E3" s="10"/>
      <c r="F3" s="14" t="s">
        <v>16</v>
      </c>
      <c r="G3" s="30" t="s">
        <v>46</v>
      </c>
      <c r="H3" s="12" t="s">
        <v>14</v>
      </c>
      <c r="K3" s="8" t="s">
        <v>17</v>
      </c>
    </row>
    <row r="4">
      <c r="A4" s="9" t="s">
        <v>18</v>
      </c>
      <c r="B4" s="10"/>
      <c r="C4" s="10"/>
      <c r="D4" s="10"/>
      <c r="E4" s="10"/>
      <c r="F4" s="10"/>
      <c r="G4" s="10"/>
      <c r="H4" s="10"/>
      <c r="K4" s="8" t="s">
        <v>21</v>
      </c>
      <c r="S4" s="17"/>
      <c r="T4" s="17"/>
      <c r="U4" s="17"/>
    </row>
    <row r="5">
      <c r="A5" s="9" t="s">
        <v>22</v>
      </c>
      <c r="B5" s="18"/>
      <c r="C5" s="18"/>
      <c r="D5" s="18"/>
      <c r="E5" s="18"/>
      <c r="F5" s="18">
        <v>9.0</v>
      </c>
      <c r="G5" s="18">
        <v>7.0</v>
      </c>
      <c r="H5" s="18">
        <v>7.0</v>
      </c>
      <c r="K5" s="8" t="s">
        <v>25</v>
      </c>
    </row>
    <row r="6">
      <c r="A6" s="9" t="s">
        <v>26</v>
      </c>
      <c r="B6" s="10"/>
      <c r="C6" s="10"/>
      <c r="D6" s="10"/>
      <c r="E6" s="10"/>
      <c r="F6" s="21" t="s">
        <v>31</v>
      </c>
      <c r="G6" s="38" t="s">
        <v>50</v>
      </c>
      <c r="H6" s="24" t="s">
        <v>33</v>
      </c>
      <c r="J6" s="20"/>
      <c r="K6" s="23"/>
      <c r="L6" s="25" t="s">
        <v>34</v>
      </c>
      <c r="M6" s="25" t="s">
        <v>36</v>
      </c>
      <c r="N6" s="25" t="s">
        <v>37</v>
      </c>
      <c r="O6" s="25" t="s">
        <v>38</v>
      </c>
      <c r="P6" s="27" t="s">
        <v>39</v>
      </c>
      <c r="Q6" s="27" t="s">
        <v>41</v>
      </c>
      <c r="R6" s="28" t="s">
        <v>42</v>
      </c>
    </row>
    <row r="7">
      <c r="A7" s="9" t="s">
        <v>43</v>
      </c>
      <c r="B7" s="10"/>
      <c r="C7" s="10"/>
      <c r="D7" s="10"/>
      <c r="E7" s="10"/>
      <c r="F7" s="38" t="s">
        <v>50</v>
      </c>
      <c r="G7" s="13" t="s">
        <v>15</v>
      </c>
      <c r="H7" s="14" t="s">
        <v>16</v>
      </c>
      <c r="J7" s="32"/>
      <c r="K7" s="12" t="s">
        <v>14</v>
      </c>
      <c r="L7" s="8">
        <f t="shared" ref="L7:L22" si="1">sum(M7:O7)</f>
        <v>18</v>
      </c>
      <c r="M7" s="8">
        <f t="shared" ref="M7:M22" si="2">SUMPRODUCT(($A$3:$A$49=$A$3)*($B$3:$H$49=$K7))+SUMPRODUCT(($A$3:$A$49=$A$4)*($B$3:$H$49=$K7))</f>
        <v>11</v>
      </c>
      <c r="N7" s="8">
        <f t="shared" ref="N7:N22" si="3">SUMPRODUCT(($A$3:$A$49=$A$6)*($B$3:$H$49=$K7))+SUMPRODUCT(($A$3:$A$49=$A$7)*($B$3:$H$49=$K7))+SUMPRODUCT(($A$3:$A$49=$A$8)*($B$3:$H$49=$K7))</f>
        <v>0</v>
      </c>
      <c r="O7" s="8">
        <f t="shared" ref="O7:O22" si="4">SUMPRODUCT(($A$3:$A$49=$A$9)*($B$3:$H$49=$K7))</f>
        <v>7</v>
      </c>
      <c r="P7" s="34"/>
      <c r="Q7" s="17"/>
      <c r="R7" s="35">
        <f t="shared" ref="R7:R10" si="5">P7-Q7</f>
        <v>0</v>
      </c>
      <c r="S7" s="36">
        <f>(31-9)*8-2*5</f>
        <v>166</v>
      </c>
      <c r="T7" s="36">
        <f>M7*8+N7*5+O7*7</f>
        <v>137</v>
      </c>
    </row>
    <row r="8">
      <c r="A8" s="9" t="s">
        <v>48</v>
      </c>
      <c r="B8" s="10"/>
      <c r="C8" s="10"/>
      <c r="D8" s="10"/>
      <c r="E8" s="10"/>
      <c r="F8" s="10"/>
      <c r="G8" s="10"/>
      <c r="H8" s="10"/>
      <c r="I8" s="8" t="s">
        <v>114</v>
      </c>
      <c r="J8" s="39" t="s">
        <v>36</v>
      </c>
      <c r="K8" s="29" t="s">
        <v>44</v>
      </c>
      <c r="L8" s="8">
        <f t="shared" si="1"/>
        <v>9</v>
      </c>
      <c r="M8" s="8">
        <f t="shared" si="2"/>
        <v>0</v>
      </c>
      <c r="N8" s="8">
        <f t="shared" si="3"/>
        <v>1</v>
      </c>
      <c r="O8" s="8">
        <f t="shared" si="4"/>
        <v>8</v>
      </c>
      <c r="P8" s="34"/>
      <c r="Q8" s="17"/>
      <c r="R8" s="35">
        <f t="shared" si="5"/>
        <v>0</v>
      </c>
    </row>
    <row r="9">
      <c r="A9" s="9" t="s">
        <v>52</v>
      </c>
      <c r="B9" s="10"/>
      <c r="C9" s="10"/>
      <c r="D9" s="10"/>
      <c r="E9" s="10"/>
      <c r="F9" s="29" t="s">
        <v>44</v>
      </c>
      <c r="G9" s="33" t="s">
        <v>47</v>
      </c>
      <c r="H9" s="11" t="s">
        <v>13</v>
      </c>
      <c r="I9" s="8"/>
      <c r="J9" s="39" t="s">
        <v>36</v>
      </c>
      <c r="K9" s="33" t="s">
        <v>47</v>
      </c>
      <c r="L9" s="8">
        <f t="shared" si="1"/>
        <v>10</v>
      </c>
      <c r="M9" s="8">
        <f t="shared" si="2"/>
        <v>0</v>
      </c>
      <c r="N9" s="8">
        <f t="shared" si="3"/>
        <v>6</v>
      </c>
      <c r="O9" s="8">
        <f t="shared" si="4"/>
        <v>4</v>
      </c>
      <c r="P9" s="34"/>
      <c r="Q9" s="17"/>
      <c r="R9" s="35">
        <f t="shared" si="5"/>
        <v>0</v>
      </c>
    </row>
    <row r="10">
      <c r="A10" s="4"/>
      <c r="B10" s="5">
        <v>46146.0</v>
      </c>
      <c r="C10" s="5">
        <v>46147.0</v>
      </c>
      <c r="D10" s="5">
        <v>46148.0</v>
      </c>
      <c r="E10" s="5">
        <v>46149.0</v>
      </c>
      <c r="F10" s="5">
        <v>46150.0</v>
      </c>
      <c r="G10" s="5">
        <v>46151.0</v>
      </c>
      <c r="H10" s="5">
        <v>46152.0</v>
      </c>
      <c r="I10" s="8"/>
      <c r="J10" s="39" t="s">
        <v>36</v>
      </c>
      <c r="K10" s="14" t="s">
        <v>16</v>
      </c>
      <c r="L10" s="8">
        <f t="shared" si="1"/>
        <v>18</v>
      </c>
      <c r="M10" s="8">
        <f t="shared" si="2"/>
        <v>8</v>
      </c>
      <c r="N10" s="8">
        <f t="shared" si="3"/>
        <v>8</v>
      </c>
      <c r="O10" s="8">
        <f t="shared" si="4"/>
        <v>2</v>
      </c>
      <c r="P10" s="34">
        <v>5.0</v>
      </c>
      <c r="Q10" s="17">
        <v>3.0</v>
      </c>
      <c r="R10" s="35">
        <f t="shared" si="5"/>
        <v>2</v>
      </c>
    </row>
    <row r="11">
      <c r="A11" s="9" t="s">
        <v>12</v>
      </c>
      <c r="B11" s="14" t="s">
        <v>16</v>
      </c>
      <c r="C11" s="12" t="s">
        <v>14</v>
      </c>
      <c r="D11" s="12" t="s">
        <v>14</v>
      </c>
      <c r="E11" s="14" t="s">
        <v>16</v>
      </c>
      <c r="F11" s="12" t="s">
        <v>14</v>
      </c>
      <c r="G11" s="13" t="s">
        <v>15</v>
      </c>
      <c r="H11" s="30" t="s">
        <v>46</v>
      </c>
      <c r="I11" s="8"/>
      <c r="J11" s="39" t="s">
        <v>36</v>
      </c>
      <c r="K11" s="30" t="s">
        <v>46</v>
      </c>
      <c r="L11" s="8">
        <f t="shared" si="1"/>
        <v>7</v>
      </c>
      <c r="M11" s="8">
        <f t="shared" si="2"/>
        <v>3</v>
      </c>
      <c r="N11" s="8">
        <f t="shared" si="3"/>
        <v>3</v>
      </c>
      <c r="O11" s="8">
        <f t="shared" si="4"/>
        <v>1</v>
      </c>
      <c r="P11" s="34">
        <v>2.0</v>
      </c>
    </row>
    <row r="12">
      <c r="A12" s="9" t="s">
        <v>18</v>
      </c>
      <c r="B12" s="10"/>
      <c r="C12" s="10"/>
      <c r="D12" s="10"/>
      <c r="F12" s="10"/>
      <c r="G12" s="10"/>
      <c r="H12" s="10"/>
      <c r="J12" s="39" t="s">
        <v>36</v>
      </c>
      <c r="K12" s="13" t="s">
        <v>15</v>
      </c>
      <c r="L12" s="8">
        <f t="shared" si="1"/>
        <v>10</v>
      </c>
      <c r="M12" s="8">
        <f t="shared" si="2"/>
        <v>4</v>
      </c>
      <c r="N12" s="8">
        <f t="shared" si="3"/>
        <v>3</v>
      </c>
      <c r="O12" s="8">
        <f t="shared" si="4"/>
        <v>3</v>
      </c>
      <c r="P12" s="34">
        <v>3.0</v>
      </c>
      <c r="Q12" s="17"/>
      <c r="R12" s="35">
        <f t="shared" ref="R12:R23" si="6">P12-Q12</f>
        <v>3</v>
      </c>
      <c r="S12" s="8" t="s">
        <v>115</v>
      </c>
    </row>
    <row r="13">
      <c r="A13" s="9" t="s">
        <v>22</v>
      </c>
      <c r="B13" s="18">
        <v>24.0</v>
      </c>
      <c r="C13" s="18">
        <v>14.0</v>
      </c>
      <c r="D13" s="18" t="s">
        <v>116</v>
      </c>
      <c r="E13" s="18" t="s">
        <v>117</v>
      </c>
      <c r="F13" s="18"/>
      <c r="G13" s="18" t="s">
        <v>118</v>
      </c>
      <c r="H13" s="18"/>
      <c r="I13" s="8" t="s">
        <v>114</v>
      </c>
      <c r="J13" s="39" t="s">
        <v>36</v>
      </c>
      <c r="K13" s="11" t="s">
        <v>13</v>
      </c>
      <c r="L13" s="8">
        <f t="shared" si="1"/>
        <v>5</v>
      </c>
      <c r="M13" s="8">
        <f t="shared" si="2"/>
        <v>1</v>
      </c>
      <c r="N13" s="8">
        <f t="shared" si="3"/>
        <v>2</v>
      </c>
      <c r="O13" s="8">
        <f t="shared" si="4"/>
        <v>2</v>
      </c>
      <c r="P13" s="34"/>
      <c r="Q13" s="17"/>
      <c r="R13" s="35">
        <f t="shared" si="6"/>
        <v>0</v>
      </c>
    </row>
    <row r="14">
      <c r="A14" s="9" t="s">
        <v>26</v>
      </c>
      <c r="B14" s="30" t="s">
        <v>46</v>
      </c>
      <c r="C14" s="13" t="s">
        <v>15</v>
      </c>
      <c r="D14" s="14" t="s">
        <v>16</v>
      </c>
      <c r="E14" s="21" t="s">
        <v>31</v>
      </c>
      <c r="F14" s="21" t="s">
        <v>31</v>
      </c>
      <c r="G14" s="45" t="s">
        <v>67</v>
      </c>
      <c r="H14" s="24" t="s">
        <v>33</v>
      </c>
      <c r="J14" s="39"/>
      <c r="K14" s="26" t="s">
        <v>35</v>
      </c>
      <c r="L14" s="8">
        <f t="shared" si="1"/>
        <v>3</v>
      </c>
      <c r="M14" s="8">
        <f t="shared" si="2"/>
        <v>0</v>
      </c>
      <c r="N14" s="8">
        <f t="shared" si="3"/>
        <v>1</v>
      </c>
      <c r="O14" s="8">
        <f t="shared" si="4"/>
        <v>2</v>
      </c>
      <c r="P14" s="34"/>
      <c r="Q14" s="17"/>
      <c r="R14" s="35">
        <f t="shared" si="6"/>
        <v>0</v>
      </c>
    </row>
    <row r="15">
      <c r="A15" s="9" t="s">
        <v>43</v>
      </c>
      <c r="B15" s="53" t="s">
        <v>79</v>
      </c>
      <c r="C15" s="43" t="s">
        <v>62</v>
      </c>
      <c r="D15" s="29" t="s">
        <v>44</v>
      </c>
      <c r="E15" s="16" t="s">
        <v>20</v>
      </c>
      <c r="F15" s="45" t="s">
        <v>67</v>
      </c>
      <c r="G15" s="26" t="s">
        <v>35</v>
      </c>
      <c r="H15" s="13" t="s">
        <v>15</v>
      </c>
      <c r="J15" s="39" t="s">
        <v>36</v>
      </c>
      <c r="K15" s="21" t="s">
        <v>31</v>
      </c>
      <c r="L15" s="8">
        <f t="shared" si="1"/>
        <v>11</v>
      </c>
      <c r="M15" s="8">
        <f t="shared" si="2"/>
        <v>1</v>
      </c>
      <c r="N15" s="8">
        <f t="shared" si="3"/>
        <v>8</v>
      </c>
      <c r="O15" s="8">
        <f t="shared" si="4"/>
        <v>2</v>
      </c>
      <c r="P15" s="34">
        <v>3.0</v>
      </c>
      <c r="Q15" s="17"/>
      <c r="R15" s="35">
        <f t="shared" si="6"/>
        <v>3</v>
      </c>
    </row>
    <row r="16" ht="20.25" customHeight="1">
      <c r="A16" s="9" t="s">
        <v>48</v>
      </c>
      <c r="B16" s="10"/>
      <c r="C16" s="10"/>
      <c r="D16" s="10"/>
      <c r="E16" s="10"/>
      <c r="F16" s="10"/>
      <c r="G16" s="10"/>
      <c r="H16" s="10"/>
      <c r="J16" s="32"/>
      <c r="K16" s="31" t="s">
        <v>45</v>
      </c>
      <c r="L16" s="8">
        <f t="shared" si="1"/>
        <v>0</v>
      </c>
      <c r="M16" s="8">
        <f t="shared" si="2"/>
        <v>0</v>
      </c>
      <c r="N16" s="8">
        <f t="shared" si="3"/>
        <v>0</v>
      </c>
      <c r="O16" s="8">
        <f t="shared" si="4"/>
        <v>0</v>
      </c>
      <c r="P16" s="34"/>
      <c r="Q16" s="17"/>
      <c r="R16" s="35">
        <f t="shared" si="6"/>
        <v>0</v>
      </c>
    </row>
    <row r="17">
      <c r="A17" s="9" t="s">
        <v>52</v>
      </c>
      <c r="B17" s="12" t="s">
        <v>14</v>
      </c>
      <c r="C17" s="21" t="s">
        <v>31</v>
      </c>
      <c r="D17" s="12" t="s">
        <v>14</v>
      </c>
      <c r="E17" s="29" t="s">
        <v>44</v>
      </c>
      <c r="F17" s="33" t="s">
        <v>47</v>
      </c>
      <c r="G17" s="29" t="s">
        <v>44</v>
      </c>
      <c r="H17" s="11" t="s">
        <v>13</v>
      </c>
      <c r="J17" s="39" t="s">
        <v>36</v>
      </c>
      <c r="K17" s="43" t="s">
        <v>62</v>
      </c>
      <c r="L17" s="8">
        <f t="shared" si="1"/>
        <v>6</v>
      </c>
      <c r="M17" s="8">
        <f t="shared" si="2"/>
        <v>3</v>
      </c>
      <c r="N17" s="8">
        <f t="shared" si="3"/>
        <v>3</v>
      </c>
      <c r="O17" s="8">
        <f t="shared" si="4"/>
        <v>0</v>
      </c>
      <c r="P17" s="34"/>
      <c r="Q17" s="17"/>
      <c r="R17" s="35">
        <f t="shared" si="6"/>
        <v>0</v>
      </c>
    </row>
    <row r="18">
      <c r="A18" s="4"/>
      <c r="B18" s="5">
        <v>46153.0</v>
      </c>
      <c r="C18" s="5">
        <v>46154.0</v>
      </c>
      <c r="D18" s="5">
        <v>46155.0</v>
      </c>
      <c r="E18" s="5">
        <v>46156.0</v>
      </c>
      <c r="F18" s="5">
        <v>46157.0</v>
      </c>
      <c r="G18" s="5">
        <v>46158.0</v>
      </c>
      <c r="H18" s="5">
        <v>46159.0</v>
      </c>
      <c r="J18" s="32"/>
      <c r="K18" s="24" t="s">
        <v>33</v>
      </c>
      <c r="L18" s="8">
        <f t="shared" si="1"/>
        <v>7</v>
      </c>
      <c r="M18" s="8">
        <f t="shared" si="2"/>
        <v>0</v>
      </c>
      <c r="N18" s="8">
        <f t="shared" si="3"/>
        <v>7</v>
      </c>
      <c r="O18" s="8">
        <f t="shared" si="4"/>
        <v>0</v>
      </c>
      <c r="P18" s="34"/>
      <c r="Q18" s="17"/>
      <c r="R18" s="35">
        <f t="shared" si="6"/>
        <v>0</v>
      </c>
    </row>
    <row r="19">
      <c r="A19" s="9" t="s">
        <v>12</v>
      </c>
      <c r="B19" s="14" t="s">
        <v>16</v>
      </c>
      <c r="C19" s="13" t="s">
        <v>15</v>
      </c>
      <c r="D19" s="12" t="s">
        <v>14</v>
      </c>
      <c r="E19" s="12" t="s">
        <v>14</v>
      </c>
      <c r="F19" s="43" t="s">
        <v>62</v>
      </c>
      <c r="G19" s="12" t="s">
        <v>14</v>
      </c>
      <c r="H19" s="12" t="s">
        <v>14</v>
      </c>
      <c r="J19" s="32"/>
      <c r="K19" s="38" t="s">
        <v>50</v>
      </c>
      <c r="L19" s="8">
        <f t="shared" si="1"/>
        <v>8</v>
      </c>
      <c r="M19" s="8">
        <f t="shared" si="2"/>
        <v>0</v>
      </c>
      <c r="N19" s="8">
        <f t="shared" si="3"/>
        <v>8</v>
      </c>
      <c r="O19" s="8">
        <f t="shared" si="4"/>
        <v>0</v>
      </c>
      <c r="P19" s="34"/>
      <c r="Q19" s="17"/>
      <c r="R19" s="35">
        <f t="shared" si="6"/>
        <v>0</v>
      </c>
    </row>
    <row r="20">
      <c r="A20" s="9" t="s">
        <v>18</v>
      </c>
      <c r="B20" s="10"/>
      <c r="C20" s="10"/>
      <c r="D20" s="10"/>
      <c r="E20" s="10"/>
      <c r="F20" s="10"/>
      <c r="G20" s="10"/>
      <c r="H20" s="10"/>
      <c r="J20" s="39" t="s">
        <v>36</v>
      </c>
      <c r="K20" s="45" t="s">
        <v>67</v>
      </c>
      <c r="L20" s="8">
        <f t="shared" si="1"/>
        <v>5</v>
      </c>
      <c r="M20" s="8">
        <f t="shared" si="2"/>
        <v>0</v>
      </c>
      <c r="N20" s="8">
        <f t="shared" si="3"/>
        <v>5</v>
      </c>
      <c r="O20" s="8">
        <f t="shared" si="4"/>
        <v>0</v>
      </c>
      <c r="P20" s="34"/>
      <c r="Q20" s="17"/>
      <c r="R20" s="35">
        <f t="shared" si="6"/>
        <v>0</v>
      </c>
      <c r="S20" s="8"/>
    </row>
    <row r="21">
      <c r="A21" s="9" t="s">
        <v>22</v>
      </c>
      <c r="B21" s="18"/>
      <c r="C21" s="18"/>
      <c r="D21" s="18" t="s">
        <v>123</v>
      </c>
      <c r="E21" s="18"/>
      <c r="F21" s="18" t="s">
        <v>124</v>
      </c>
      <c r="G21" s="18"/>
      <c r="H21" s="18"/>
      <c r="J21" s="32"/>
      <c r="K21" s="53" t="s">
        <v>79</v>
      </c>
      <c r="L21" s="8">
        <f t="shared" si="1"/>
        <v>3</v>
      </c>
      <c r="M21" s="8">
        <f t="shared" si="2"/>
        <v>0</v>
      </c>
      <c r="N21" s="8">
        <f t="shared" si="3"/>
        <v>3</v>
      </c>
      <c r="O21" s="8">
        <f t="shared" si="4"/>
        <v>0</v>
      </c>
      <c r="P21" s="34"/>
      <c r="Q21" s="17"/>
      <c r="R21" s="35">
        <f t="shared" si="6"/>
        <v>0</v>
      </c>
    </row>
    <row r="22">
      <c r="A22" s="9" t="s">
        <v>26</v>
      </c>
      <c r="B22" s="38" t="s">
        <v>50</v>
      </c>
      <c r="C22" s="33" t="s">
        <v>47</v>
      </c>
      <c r="D22" s="38" t="s">
        <v>50</v>
      </c>
      <c r="E22" s="14" t="s">
        <v>16</v>
      </c>
      <c r="F22" s="21" t="s">
        <v>31</v>
      </c>
      <c r="G22" s="16" t="s">
        <v>20</v>
      </c>
      <c r="H22" s="43" t="s">
        <v>62</v>
      </c>
      <c r="I22" s="8" t="s">
        <v>114</v>
      </c>
      <c r="J22" s="32"/>
      <c r="K22" s="16" t="s">
        <v>20</v>
      </c>
      <c r="L22" s="8">
        <f t="shared" si="1"/>
        <v>4</v>
      </c>
      <c r="M22" s="8">
        <f t="shared" si="2"/>
        <v>1</v>
      </c>
      <c r="N22" s="8">
        <f t="shared" si="3"/>
        <v>3</v>
      </c>
      <c r="O22" s="8">
        <f t="shared" si="4"/>
        <v>0</v>
      </c>
      <c r="P22" s="34"/>
      <c r="Q22" s="17"/>
      <c r="R22" s="35">
        <f t="shared" si="6"/>
        <v>0</v>
      </c>
    </row>
    <row r="23">
      <c r="A23" s="9" t="s">
        <v>43</v>
      </c>
      <c r="B23" s="33" t="s">
        <v>47</v>
      </c>
      <c r="C23" s="14" t="s">
        <v>16</v>
      </c>
      <c r="D23" s="45" t="s">
        <v>67</v>
      </c>
      <c r="E23" s="21" t="s">
        <v>31</v>
      </c>
      <c r="F23" s="38" t="s">
        <v>50</v>
      </c>
      <c r="G23" s="11" t="s">
        <v>13</v>
      </c>
      <c r="H23" s="24" t="s">
        <v>33</v>
      </c>
      <c r="I23" s="8" t="s">
        <v>0</v>
      </c>
      <c r="J23" s="32"/>
      <c r="Q23" s="17"/>
      <c r="R23" s="35">
        <f t="shared" si="6"/>
        <v>0</v>
      </c>
    </row>
    <row r="24">
      <c r="A24" s="9" t="s">
        <v>48</v>
      </c>
      <c r="B24" s="10"/>
      <c r="C24" s="10"/>
      <c r="D24" s="10"/>
      <c r="E24" s="10"/>
      <c r="F24" s="10"/>
      <c r="G24" s="10"/>
      <c r="H24" s="10"/>
      <c r="I24" s="8" t="s">
        <v>0</v>
      </c>
      <c r="J24" s="32"/>
      <c r="R24" s="35"/>
    </row>
    <row r="25">
      <c r="A25" s="9" t="s">
        <v>52</v>
      </c>
      <c r="B25" s="12" t="s">
        <v>14</v>
      </c>
      <c r="C25" s="30" t="s">
        <v>46</v>
      </c>
      <c r="D25" s="29" t="s">
        <v>44</v>
      </c>
      <c r="E25" s="13" t="s">
        <v>15</v>
      </c>
      <c r="F25" s="33" t="s">
        <v>47</v>
      </c>
      <c r="G25" s="26" t="s">
        <v>35</v>
      </c>
      <c r="H25" s="14" t="s">
        <v>16</v>
      </c>
      <c r="J25" s="32"/>
      <c r="R25" s="35"/>
    </row>
    <row r="26">
      <c r="A26" s="4"/>
      <c r="B26" s="5">
        <v>46160.0</v>
      </c>
      <c r="C26" s="5">
        <v>46161.0</v>
      </c>
      <c r="D26" s="5">
        <v>46162.0</v>
      </c>
      <c r="E26" s="5">
        <v>46163.0</v>
      </c>
      <c r="F26" s="5">
        <v>46164.0</v>
      </c>
      <c r="G26" s="5">
        <v>46165.0</v>
      </c>
      <c r="H26" s="5">
        <v>46166.0</v>
      </c>
      <c r="I26" s="55"/>
      <c r="J26" s="32"/>
      <c r="R26" s="35"/>
      <c r="T26" s="56"/>
      <c r="U26" s="56"/>
    </row>
    <row r="27">
      <c r="A27" s="9" t="s">
        <v>12</v>
      </c>
      <c r="B27" s="12" t="s">
        <v>14</v>
      </c>
      <c r="C27" s="21" t="s">
        <v>31</v>
      </c>
      <c r="D27" s="14" t="s">
        <v>16</v>
      </c>
      <c r="E27" s="14" t="s">
        <v>16</v>
      </c>
      <c r="F27" s="43" t="s">
        <v>62</v>
      </c>
      <c r="G27" s="11" t="s">
        <v>13</v>
      </c>
      <c r="H27" s="30" t="s">
        <v>46</v>
      </c>
      <c r="J27" s="32"/>
      <c r="R27" s="35"/>
      <c r="AA27" s="57"/>
    </row>
    <row r="28">
      <c r="A28" s="9" t="s">
        <v>18</v>
      </c>
      <c r="B28" s="10"/>
      <c r="C28" s="10"/>
      <c r="D28" s="10"/>
      <c r="E28" s="10"/>
      <c r="F28" s="10"/>
      <c r="G28" s="10"/>
      <c r="H28" s="10"/>
      <c r="J28" s="58"/>
      <c r="K28" s="59"/>
      <c r="L28" s="59"/>
      <c r="M28" s="59"/>
      <c r="N28" s="59"/>
      <c r="O28" s="59"/>
      <c r="P28" s="59"/>
      <c r="Q28" s="59"/>
      <c r="R28" s="60"/>
    </row>
    <row r="29">
      <c r="A29" s="9" t="s">
        <v>22</v>
      </c>
      <c r="B29" s="18"/>
      <c r="C29" s="18">
        <v>21.0</v>
      </c>
      <c r="D29" s="18" t="s">
        <v>125</v>
      </c>
      <c r="E29" s="18"/>
      <c r="F29" s="18">
        <v>24.0</v>
      </c>
      <c r="G29" s="18">
        <v>15.0</v>
      </c>
      <c r="H29" s="18">
        <v>32.0</v>
      </c>
      <c r="I29" s="55"/>
    </row>
    <row r="30">
      <c r="A30" s="9" t="s">
        <v>26</v>
      </c>
      <c r="B30" s="53" t="s">
        <v>79</v>
      </c>
      <c r="C30" s="43" t="s">
        <v>62</v>
      </c>
      <c r="D30" s="38" t="s">
        <v>50</v>
      </c>
      <c r="E30" s="30" t="s">
        <v>46</v>
      </c>
      <c r="F30" s="21" t="s">
        <v>31</v>
      </c>
      <c r="G30" s="24" t="s">
        <v>33</v>
      </c>
      <c r="H30" s="24" t="s">
        <v>33</v>
      </c>
      <c r="I30" s="55"/>
      <c r="K30" s="8" t="s">
        <v>92</v>
      </c>
    </row>
    <row r="31">
      <c r="A31" s="9" t="s">
        <v>43</v>
      </c>
      <c r="B31" s="33" t="s">
        <v>47</v>
      </c>
      <c r="C31" s="45" t="s">
        <v>67</v>
      </c>
      <c r="D31" s="45" t="s">
        <v>67</v>
      </c>
      <c r="E31" s="21" t="s">
        <v>31</v>
      </c>
      <c r="F31" s="38" t="s">
        <v>50</v>
      </c>
      <c r="G31" s="14" t="s">
        <v>16</v>
      </c>
      <c r="H31" s="16" t="s">
        <v>20</v>
      </c>
      <c r="I31" s="55"/>
      <c r="K31" s="33" t="s">
        <v>47</v>
      </c>
    </row>
    <row r="32">
      <c r="A32" s="9" t="s">
        <v>48</v>
      </c>
      <c r="B32" s="10"/>
      <c r="C32" s="10"/>
      <c r="D32" s="10"/>
      <c r="E32" s="10"/>
      <c r="F32" s="10"/>
      <c r="G32" s="10"/>
      <c r="H32" s="10"/>
      <c r="I32" s="55"/>
      <c r="K32" s="14" t="s">
        <v>16</v>
      </c>
    </row>
    <row r="33">
      <c r="A33" s="9" t="s">
        <v>52</v>
      </c>
      <c r="B33" s="29" t="s">
        <v>44</v>
      </c>
      <c r="C33" s="13" t="s">
        <v>15</v>
      </c>
      <c r="D33" s="29" t="s">
        <v>44</v>
      </c>
      <c r="E33" s="12" t="s">
        <v>14</v>
      </c>
      <c r="F33" s="33" t="s">
        <v>47</v>
      </c>
      <c r="G33" s="12" t="s">
        <v>14</v>
      </c>
      <c r="H33" s="29" t="s">
        <v>44</v>
      </c>
      <c r="K33" s="30" t="s">
        <v>46</v>
      </c>
    </row>
    <row r="34">
      <c r="A34" s="4"/>
      <c r="B34" s="5">
        <v>46167.0</v>
      </c>
      <c r="C34" s="5">
        <v>46168.0</v>
      </c>
      <c r="D34" s="5">
        <v>46169.0</v>
      </c>
      <c r="E34" s="5">
        <v>46170.0</v>
      </c>
      <c r="F34" s="5">
        <v>46171.0</v>
      </c>
      <c r="G34" s="5">
        <v>46172.0</v>
      </c>
      <c r="H34" s="5">
        <v>46173.0</v>
      </c>
      <c r="I34" s="61"/>
      <c r="K34" s="13" t="s">
        <v>15</v>
      </c>
    </row>
    <row r="35">
      <c r="A35" s="9" t="s">
        <v>12</v>
      </c>
      <c r="B35" s="14" t="s">
        <v>16</v>
      </c>
      <c r="C35" s="13" t="s">
        <v>15</v>
      </c>
      <c r="D35" s="13" t="s">
        <v>15</v>
      </c>
      <c r="E35" s="14" t="s">
        <v>16</v>
      </c>
      <c r="F35" s="12" t="s">
        <v>14</v>
      </c>
      <c r="G35" s="43" t="s">
        <v>62</v>
      </c>
      <c r="H35" s="16" t="s">
        <v>20</v>
      </c>
      <c r="K35" s="11" t="s">
        <v>13</v>
      </c>
    </row>
    <row r="36">
      <c r="A36" s="9" t="s">
        <v>18</v>
      </c>
      <c r="B36" s="10"/>
      <c r="C36" s="10"/>
      <c r="D36" s="10"/>
      <c r="E36" s="10"/>
      <c r="F36" s="10"/>
      <c r="G36" s="10"/>
      <c r="H36" s="12" t="s">
        <v>14</v>
      </c>
      <c r="K36" s="21" t="s">
        <v>31</v>
      </c>
    </row>
    <row r="37">
      <c r="A37" s="9" t="s">
        <v>22</v>
      </c>
      <c r="B37" s="18">
        <v>17.0</v>
      </c>
      <c r="C37" s="18">
        <v>13.0</v>
      </c>
      <c r="D37" s="18"/>
      <c r="E37" s="18" t="s">
        <v>126</v>
      </c>
      <c r="F37" s="18"/>
      <c r="G37" s="18" t="s">
        <v>65</v>
      </c>
      <c r="H37" s="18"/>
      <c r="K37" s="43" t="s">
        <v>62</v>
      </c>
    </row>
    <row r="38">
      <c r="A38" s="9" t="s">
        <v>26</v>
      </c>
      <c r="B38" s="33" t="s">
        <v>47</v>
      </c>
      <c r="C38" s="33" t="s">
        <v>47</v>
      </c>
      <c r="D38" s="38" t="s">
        <v>50</v>
      </c>
      <c r="E38" s="30" t="s">
        <v>46</v>
      </c>
      <c r="F38" s="14" t="s">
        <v>16</v>
      </c>
      <c r="G38" s="24" t="s">
        <v>33</v>
      </c>
      <c r="H38" s="24" t="s">
        <v>33</v>
      </c>
      <c r="K38" s="45" t="s">
        <v>67</v>
      </c>
    </row>
    <row r="39">
      <c r="A39" s="9" t="s">
        <v>43</v>
      </c>
      <c r="B39" s="53" t="s">
        <v>79</v>
      </c>
      <c r="C39" s="14" t="s">
        <v>16</v>
      </c>
      <c r="D39" s="14" t="s">
        <v>16</v>
      </c>
      <c r="E39" s="21" t="s">
        <v>31</v>
      </c>
      <c r="F39" s="33" t="s">
        <v>47</v>
      </c>
      <c r="G39" s="11" t="s">
        <v>13</v>
      </c>
    </row>
    <row r="40">
      <c r="A40" s="9" t="s">
        <v>48</v>
      </c>
      <c r="B40" s="10"/>
      <c r="C40" s="10"/>
      <c r="D40" s="10"/>
      <c r="E40" s="10"/>
      <c r="F40" s="10"/>
      <c r="G40" s="10"/>
      <c r="H40" s="10"/>
      <c r="I40" s="8"/>
    </row>
    <row r="41">
      <c r="A41" s="9" t="s">
        <v>52</v>
      </c>
      <c r="B41" s="12" t="s">
        <v>14</v>
      </c>
      <c r="C41" s="21" t="s">
        <v>31</v>
      </c>
      <c r="D41" s="12" t="s">
        <v>14</v>
      </c>
      <c r="E41" s="29" t="s">
        <v>44</v>
      </c>
      <c r="F41" s="13" t="s">
        <v>15</v>
      </c>
      <c r="G41" s="26" t="s">
        <v>35</v>
      </c>
      <c r="H41" s="14" t="s">
        <v>16</v>
      </c>
      <c r="I41" s="8"/>
    </row>
    <row r="42">
      <c r="A42" s="4"/>
      <c r="B42" s="5"/>
      <c r="C42" s="5"/>
      <c r="D42" s="5"/>
      <c r="E42" s="5"/>
      <c r="F42" s="5"/>
      <c r="G42" s="5"/>
      <c r="H42" s="5"/>
      <c r="I42" s="61"/>
    </row>
    <row r="43">
      <c r="A43" s="9" t="s">
        <v>12</v>
      </c>
      <c r="B43" s="10"/>
      <c r="C43" s="10"/>
      <c r="D43" s="10"/>
      <c r="E43" s="10"/>
      <c r="F43" s="10"/>
      <c r="G43" s="10"/>
      <c r="H43" s="10"/>
      <c r="I43" s="61"/>
    </row>
    <row r="44">
      <c r="A44" s="9" t="s">
        <v>18</v>
      </c>
      <c r="B44" s="10"/>
      <c r="C44" s="10"/>
      <c r="D44" s="10"/>
      <c r="E44" s="10"/>
      <c r="F44" s="10"/>
      <c r="G44" s="10"/>
      <c r="H44" s="10"/>
      <c r="I44" s="61"/>
    </row>
    <row r="45">
      <c r="A45" s="9" t="s">
        <v>22</v>
      </c>
      <c r="B45" s="18"/>
      <c r="C45" s="18"/>
      <c r="D45" s="18"/>
      <c r="E45" s="18"/>
      <c r="F45" s="18"/>
      <c r="G45" s="18"/>
      <c r="H45" s="18"/>
      <c r="I45" s="61"/>
    </row>
    <row r="46">
      <c r="A46" s="9" t="s">
        <v>26</v>
      </c>
      <c r="B46" s="10"/>
      <c r="C46" s="10"/>
      <c r="D46" s="10"/>
      <c r="E46" s="10"/>
      <c r="F46" s="10"/>
      <c r="G46" s="10"/>
      <c r="H46" s="10"/>
    </row>
    <row r="47">
      <c r="A47" s="9" t="s">
        <v>43</v>
      </c>
      <c r="B47" s="10"/>
      <c r="C47" s="10"/>
      <c r="D47" s="10"/>
      <c r="E47" s="10"/>
      <c r="F47" s="10"/>
      <c r="G47" s="10"/>
      <c r="H47" s="10"/>
    </row>
    <row r="48">
      <c r="A48" s="9" t="s">
        <v>48</v>
      </c>
      <c r="B48" s="10"/>
      <c r="C48" s="10"/>
      <c r="D48" s="10"/>
      <c r="E48" s="10"/>
      <c r="F48" s="10"/>
      <c r="G48" s="10"/>
      <c r="H48" s="10"/>
      <c r="I48" s="6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>
      <c r="A49" s="9" t="s">
        <v>52</v>
      </c>
      <c r="B49" s="10"/>
      <c r="C49" s="10"/>
      <c r="D49" s="10"/>
      <c r="E49" s="10"/>
      <c r="F49" s="10"/>
      <c r="G49" s="10"/>
      <c r="H49" s="10"/>
      <c r="I49" s="65"/>
      <c r="J49" s="65"/>
      <c r="Q49" s="65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I50" s="65"/>
      <c r="J50" s="65"/>
      <c r="Q50" s="65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Q51" s="65"/>
    </row>
    <row r="52">
      <c r="I52" s="67"/>
      <c r="J52" s="68"/>
      <c r="R52" s="69"/>
    </row>
    <row r="53">
      <c r="I53" s="61"/>
      <c r="J53" s="61"/>
      <c r="R53" s="69"/>
    </row>
    <row r="54">
      <c r="I54" s="61"/>
      <c r="J54" s="61"/>
      <c r="R54" s="69"/>
    </row>
    <row r="55">
      <c r="I55" s="61"/>
      <c r="J55" s="61"/>
      <c r="R55" s="69"/>
    </row>
    <row r="56">
      <c r="I56" s="70"/>
      <c r="J56" s="70"/>
      <c r="R56" s="69"/>
    </row>
    <row r="57">
      <c r="I57" s="71"/>
      <c r="J57" s="71"/>
      <c r="R57" s="69"/>
    </row>
    <row r="58">
      <c r="I58" s="72"/>
      <c r="J58" s="72"/>
      <c r="K58" s="71"/>
      <c r="R58" s="69"/>
    </row>
    <row r="59">
      <c r="K59" s="71"/>
      <c r="R59" s="69"/>
    </row>
    <row r="61">
      <c r="Q61" s="73"/>
      <c r="R61" s="73"/>
    </row>
    <row r="62">
      <c r="Q62" s="73"/>
      <c r="R62" s="73"/>
    </row>
    <row r="63">
      <c r="Q63" s="73"/>
      <c r="R63" s="73"/>
    </row>
    <row r="66">
      <c r="I66" s="8" t="s">
        <v>109</v>
      </c>
      <c r="J66" s="8"/>
    </row>
    <row r="72">
      <c r="F72" s="75"/>
    </row>
    <row r="73">
      <c r="F73" s="75"/>
    </row>
    <row r="74">
      <c r="F74" s="75"/>
    </row>
    <row r="75">
      <c r="F75" s="75"/>
    </row>
    <row r="76">
      <c r="F76" s="75"/>
    </row>
    <row r="77">
      <c r="F77" s="75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F83" s="75"/>
    </row>
    <row r="84">
      <c r="E84" s="66"/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  <row r="1011">
      <c r="F1011" s="75"/>
    </row>
    <row r="1012">
      <c r="F1012" s="75"/>
    </row>
    <row r="1013">
      <c r="F1013" s="75"/>
    </row>
    <row r="1014">
      <c r="F1014" s="75"/>
    </row>
    <row r="1015">
      <c r="F1015" s="75"/>
    </row>
    <row r="1016">
      <c r="F1016" s="75"/>
    </row>
    <row r="1017">
      <c r="F1017" s="75"/>
    </row>
    <row r="1018">
      <c r="F1018" s="75"/>
    </row>
  </sheetData>
  <mergeCells count="3">
    <mergeCell ref="L66:Q66"/>
    <mergeCell ref="L67:P67"/>
    <mergeCell ref="L68:P68"/>
  </mergeCells>
  <conditionalFormatting sqref="B2:H2 B10:H10 B18:H18 B26:H26 B34:H34 B42:H42">
    <cfRule type="expression" dxfId="0" priority="1">
      <formula>AND(TRUNC(B2)&gt;=EDATE(TODAY(),-12)+1,TRUNC(B2)&lt;=TODAY())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4.75"/>
    <col customWidth="1" min="4" max="4" width="15.5"/>
    <col customWidth="1" min="5" max="5" width="19.5"/>
    <col customWidth="1" min="6" max="6" width="18.25"/>
    <col customWidth="1" min="7" max="7" width="17.75"/>
    <col customWidth="1" min="8" max="8" width="18.25"/>
    <col customWidth="1" min="10" max="10" width="5.38"/>
    <col customWidth="1" min="11" max="11" width="17.88"/>
    <col customWidth="1" min="12" max="12" width="13.38"/>
    <col customWidth="1" min="13" max="13" width="2.63"/>
    <col customWidth="1" min="14" max="14" width="2.88"/>
    <col customWidth="1" min="15" max="15" width="2.25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</row>
    <row r="2">
      <c r="A2" s="4"/>
      <c r="B2" s="5">
        <v>46174.0</v>
      </c>
      <c r="C2" s="5">
        <v>46175.0</v>
      </c>
      <c r="D2" s="5">
        <v>46176.0</v>
      </c>
      <c r="E2" s="5">
        <v>46177.0</v>
      </c>
      <c r="F2" s="5">
        <v>46178.0</v>
      </c>
      <c r="G2" s="5">
        <v>46179.0</v>
      </c>
      <c r="H2" s="5">
        <v>46180.0</v>
      </c>
      <c r="I2" s="7" t="s">
        <v>10</v>
      </c>
      <c r="K2" s="8" t="s">
        <v>11</v>
      </c>
    </row>
    <row r="3">
      <c r="A3" s="9" t="s">
        <v>12</v>
      </c>
      <c r="B3" s="14" t="s">
        <v>16</v>
      </c>
      <c r="C3" s="14" t="s">
        <v>16</v>
      </c>
      <c r="D3" s="13" t="s">
        <v>15</v>
      </c>
      <c r="E3" s="14" t="s">
        <v>16</v>
      </c>
      <c r="F3" s="14" t="s">
        <v>16</v>
      </c>
      <c r="G3" s="12" t="s">
        <v>14</v>
      </c>
      <c r="H3" s="13" t="s">
        <v>15</v>
      </c>
      <c r="K3" s="8" t="s">
        <v>17</v>
      </c>
    </row>
    <row r="4">
      <c r="A4" s="9" t="s">
        <v>18</v>
      </c>
      <c r="B4" s="10"/>
      <c r="C4" s="10"/>
      <c r="D4" s="10"/>
      <c r="E4" s="10"/>
      <c r="F4" s="10"/>
      <c r="G4" s="10"/>
      <c r="H4" s="10"/>
      <c r="K4" s="8" t="s">
        <v>21</v>
      </c>
      <c r="S4" s="17"/>
      <c r="T4" s="17"/>
      <c r="U4" s="17"/>
    </row>
    <row r="5">
      <c r="A5" s="9" t="s">
        <v>22</v>
      </c>
      <c r="B5" s="18">
        <v>28.0</v>
      </c>
      <c r="C5" s="18">
        <v>12.0</v>
      </c>
      <c r="D5" s="18" t="s">
        <v>119</v>
      </c>
      <c r="E5" s="18" t="s">
        <v>120</v>
      </c>
      <c r="F5" s="18">
        <v>4.0</v>
      </c>
      <c r="G5" s="18">
        <v>7.0</v>
      </c>
      <c r="H5" s="18" t="s">
        <v>121</v>
      </c>
      <c r="K5" s="8" t="s">
        <v>25</v>
      </c>
    </row>
    <row r="6">
      <c r="A6" s="9" t="s">
        <v>26</v>
      </c>
      <c r="B6" s="31" t="s">
        <v>45</v>
      </c>
      <c r="C6" s="43" t="s">
        <v>62</v>
      </c>
      <c r="D6" s="14" t="s">
        <v>16</v>
      </c>
      <c r="E6" s="38" t="s">
        <v>50</v>
      </c>
      <c r="F6" s="31" t="s">
        <v>45</v>
      </c>
      <c r="G6" s="38" t="s">
        <v>50</v>
      </c>
      <c r="H6" s="76" t="s">
        <v>122</v>
      </c>
      <c r="J6" s="20"/>
      <c r="K6" s="23"/>
      <c r="L6" s="25" t="s">
        <v>34</v>
      </c>
      <c r="M6" s="25" t="s">
        <v>36</v>
      </c>
      <c r="N6" s="25" t="s">
        <v>37</v>
      </c>
      <c r="O6" s="25" t="s">
        <v>38</v>
      </c>
      <c r="P6" s="27" t="s">
        <v>39</v>
      </c>
      <c r="Q6" s="27" t="s">
        <v>41</v>
      </c>
      <c r="R6" s="28" t="s">
        <v>42</v>
      </c>
    </row>
    <row r="7">
      <c r="A7" s="9" t="s">
        <v>43</v>
      </c>
      <c r="B7" s="45" t="s">
        <v>67</v>
      </c>
      <c r="C7" s="29" t="s">
        <v>44</v>
      </c>
      <c r="D7" s="10"/>
      <c r="E7" s="21" t="s">
        <v>31</v>
      </c>
      <c r="F7" s="13" t="s">
        <v>15</v>
      </c>
      <c r="G7" s="10"/>
      <c r="H7" s="10"/>
      <c r="J7" s="32"/>
      <c r="K7" s="12" t="s">
        <v>14</v>
      </c>
      <c r="L7" s="8">
        <f t="shared" ref="L7:L24" si="1">sum(M7:O7)</f>
        <v>15</v>
      </c>
      <c r="M7" s="8">
        <f t="shared" ref="M7:M24" si="2">SUMPRODUCT(($A$3:$A$49=$A$3)*($B$3:$H$49=$K7))+SUMPRODUCT(($A$3:$A$49=$A$4)*($B$3:$H$49=$K7))</f>
        <v>7</v>
      </c>
      <c r="N7" s="8">
        <f t="shared" ref="N7:N24" si="3">SUMPRODUCT(($A$3:$A$49=$A$6)*($B$3:$H$49=$K7))+SUMPRODUCT(($A$3:$A$49=$A$7)*($B$3:$H$49=$K7))+SUMPRODUCT(($A$3:$A$49=$A$8)*($B$3:$H$49=$K7))</f>
        <v>0</v>
      </c>
      <c r="O7" s="8">
        <f t="shared" ref="O7:O24" si="4">SUMPRODUCT(($A$3:$A$49=$A$9)*($B$3:$H$49=$K7))</f>
        <v>8</v>
      </c>
      <c r="P7" s="34"/>
      <c r="Q7" s="17"/>
      <c r="R7" s="35">
        <f t="shared" ref="R7:R10" si="5">P7-Q7</f>
        <v>0</v>
      </c>
      <c r="S7" s="36">
        <f>(30-9)*8-2*5</f>
        <v>158</v>
      </c>
      <c r="T7" s="36">
        <f>M7*8+N7*5+O7*7</f>
        <v>112</v>
      </c>
    </row>
    <row r="8">
      <c r="A8" s="9" t="s">
        <v>48</v>
      </c>
      <c r="B8" s="13" t="s">
        <v>15</v>
      </c>
      <c r="C8" s="10"/>
      <c r="D8" s="29" t="s">
        <v>44</v>
      </c>
      <c r="E8" s="10"/>
      <c r="F8" s="10"/>
      <c r="G8" s="10"/>
      <c r="H8" s="10"/>
      <c r="J8" s="39" t="s">
        <v>36</v>
      </c>
      <c r="K8" s="29" t="s">
        <v>44</v>
      </c>
      <c r="L8" s="8">
        <f t="shared" si="1"/>
        <v>12</v>
      </c>
      <c r="M8" s="8">
        <f t="shared" si="2"/>
        <v>0</v>
      </c>
      <c r="N8" s="8">
        <f t="shared" si="3"/>
        <v>3</v>
      </c>
      <c r="O8" s="8">
        <f t="shared" si="4"/>
        <v>9</v>
      </c>
      <c r="P8" s="34"/>
      <c r="Q8" s="17"/>
      <c r="R8" s="35">
        <f t="shared" si="5"/>
        <v>0</v>
      </c>
      <c r="S8" s="8" t="s">
        <v>127</v>
      </c>
    </row>
    <row r="9">
      <c r="A9" s="9" t="s">
        <v>52</v>
      </c>
      <c r="B9" s="12" t="s">
        <v>14</v>
      </c>
      <c r="C9" s="30" t="s">
        <v>46</v>
      </c>
      <c r="D9" s="12" t="s">
        <v>14</v>
      </c>
      <c r="E9" s="29" t="s">
        <v>44</v>
      </c>
      <c r="F9" s="33" t="s">
        <v>47</v>
      </c>
      <c r="G9" s="26" t="s">
        <v>35</v>
      </c>
      <c r="H9" s="11" t="s">
        <v>13</v>
      </c>
      <c r="I9" s="8"/>
      <c r="J9" s="39" t="s">
        <v>36</v>
      </c>
      <c r="K9" s="33" t="s">
        <v>47</v>
      </c>
      <c r="L9" s="8">
        <f t="shared" si="1"/>
        <v>9</v>
      </c>
      <c r="M9" s="8">
        <f t="shared" si="2"/>
        <v>4</v>
      </c>
      <c r="N9" s="8">
        <f t="shared" si="3"/>
        <v>2</v>
      </c>
      <c r="O9" s="8">
        <f t="shared" si="4"/>
        <v>3</v>
      </c>
      <c r="P9" s="34">
        <v>2.0</v>
      </c>
      <c r="Q9" s="17">
        <v>1.0</v>
      </c>
      <c r="R9" s="35">
        <f t="shared" si="5"/>
        <v>1</v>
      </c>
    </row>
    <row r="10">
      <c r="A10" s="4"/>
      <c r="B10" s="5">
        <v>46181.0</v>
      </c>
      <c r="C10" s="5">
        <v>46182.0</v>
      </c>
      <c r="D10" s="5">
        <v>46183.0</v>
      </c>
      <c r="E10" s="5">
        <v>46184.0</v>
      </c>
      <c r="F10" s="5">
        <v>46185.0</v>
      </c>
      <c r="G10" s="5">
        <v>46186.0</v>
      </c>
      <c r="H10" s="5">
        <v>46187.0</v>
      </c>
      <c r="I10" s="8"/>
      <c r="J10" s="39" t="s">
        <v>36</v>
      </c>
      <c r="K10" s="14" t="s">
        <v>16</v>
      </c>
      <c r="L10" s="8">
        <f t="shared" si="1"/>
        <v>14</v>
      </c>
      <c r="M10" s="8">
        <f t="shared" si="2"/>
        <v>9</v>
      </c>
      <c r="N10" s="8">
        <f t="shared" si="3"/>
        <v>4</v>
      </c>
      <c r="O10" s="8">
        <f t="shared" si="4"/>
        <v>1</v>
      </c>
      <c r="P10" s="34">
        <v>4.0</v>
      </c>
      <c r="Q10" s="17">
        <v>2.0</v>
      </c>
      <c r="R10" s="35">
        <f t="shared" si="5"/>
        <v>2</v>
      </c>
    </row>
    <row r="11">
      <c r="A11" s="9" t="s">
        <v>12</v>
      </c>
      <c r="B11" s="12" t="s">
        <v>14</v>
      </c>
      <c r="C11" s="13" t="s">
        <v>15</v>
      </c>
      <c r="D11" s="12" t="s">
        <v>14</v>
      </c>
      <c r="E11" s="14" t="s">
        <v>16</v>
      </c>
      <c r="F11" s="33" t="s">
        <v>47</v>
      </c>
      <c r="G11" s="45" t="s">
        <v>67</v>
      </c>
      <c r="H11" s="30" t="s">
        <v>46</v>
      </c>
      <c r="I11" s="8"/>
      <c r="J11" s="39" t="s">
        <v>36</v>
      </c>
      <c r="K11" s="30" t="s">
        <v>46</v>
      </c>
      <c r="L11" s="8">
        <f t="shared" si="1"/>
        <v>5</v>
      </c>
      <c r="M11" s="8">
        <f t="shared" si="2"/>
        <v>2</v>
      </c>
      <c r="N11" s="8">
        <f t="shared" si="3"/>
        <v>1</v>
      </c>
      <c r="O11" s="8">
        <f t="shared" si="4"/>
        <v>2</v>
      </c>
      <c r="P11" s="34"/>
      <c r="S11" s="8" t="s">
        <v>134</v>
      </c>
    </row>
    <row r="12">
      <c r="A12" s="9" t="s">
        <v>18</v>
      </c>
      <c r="B12" s="10"/>
      <c r="C12" s="10"/>
      <c r="D12" s="10"/>
      <c r="E12" s="10"/>
      <c r="F12" s="10"/>
      <c r="G12" s="10"/>
      <c r="H12" s="10"/>
      <c r="J12" s="39" t="s">
        <v>36</v>
      </c>
      <c r="K12" s="13" t="s">
        <v>15</v>
      </c>
      <c r="L12" s="8">
        <f t="shared" si="1"/>
        <v>8</v>
      </c>
      <c r="M12" s="8">
        <f t="shared" si="2"/>
        <v>3</v>
      </c>
      <c r="N12" s="8">
        <f t="shared" si="3"/>
        <v>4</v>
      </c>
      <c r="O12" s="8">
        <f t="shared" si="4"/>
        <v>1</v>
      </c>
      <c r="P12" s="34"/>
      <c r="Q12" s="17"/>
      <c r="R12" s="35">
        <f t="shared" ref="R12:R24" si="6">P12-Q12</f>
        <v>0</v>
      </c>
      <c r="S12" s="8" t="s">
        <v>115</v>
      </c>
    </row>
    <row r="13">
      <c r="A13" s="9" t="s">
        <v>22</v>
      </c>
      <c r="B13" s="18" t="s">
        <v>135</v>
      </c>
      <c r="C13" s="18" t="s">
        <v>136</v>
      </c>
      <c r="D13" s="18" t="s">
        <v>137</v>
      </c>
      <c r="E13" s="18">
        <v>2.0</v>
      </c>
      <c r="F13" s="18">
        <v>0.0</v>
      </c>
      <c r="G13" s="18">
        <v>1.0</v>
      </c>
      <c r="H13" s="18" t="s">
        <v>138</v>
      </c>
      <c r="J13" s="39" t="s">
        <v>36</v>
      </c>
      <c r="K13" s="11" t="s">
        <v>13</v>
      </c>
      <c r="L13" s="8">
        <f t="shared" si="1"/>
        <v>4</v>
      </c>
      <c r="M13" s="8">
        <f t="shared" si="2"/>
        <v>0</v>
      </c>
      <c r="N13" s="8">
        <f t="shared" si="3"/>
        <v>1</v>
      </c>
      <c r="O13" s="8">
        <f t="shared" si="4"/>
        <v>3</v>
      </c>
      <c r="P13" s="34"/>
      <c r="Q13" s="17"/>
      <c r="R13" s="35">
        <f t="shared" si="6"/>
        <v>0</v>
      </c>
      <c r="S13" s="8" t="s">
        <v>139</v>
      </c>
    </row>
    <row r="14">
      <c r="A14" s="9" t="s">
        <v>26</v>
      </c>
      <c r="B14" s="31" t="s">
        <v>45</v>
      </c>
      <c r="C14" s="38" t="s">
        <v>50</v>
      </c>
      <c r="D14" s="31" t="s">
        <v>45</v>
      </c>
      <c r="E14" s="21" t="s">
        <v>31</v>
      </c>
      <c r="F14" s="38" t="s">
        <v>50</v>
      </c>
      <c r="G14" s="24" t="s">
        <v>33</v>
      </c>
      <c r="H14" s="38" t="s">
        <v>50</v>
      </c>
      <c r="J14" s="39"/>
      <c r="K14" s="26" t="s">
        <v>35</v>
      </c>
      <c r="L14" s="8">
        <f t="shared" si="1"/>
        <v>2</v>
      </c>
      <c r="M14" s="8">
        <f t="shared" si="2"/>
        <v>1</v>
      </c>
      <c r="N14" s="8">
        <f t="shared" si="3"/>
        <v>0</v>
      </c>
      <c r="O14" s="8">
        <f t="shared" si="4"/>
        <v>1</v>
      </c>
      <c r="P14" s="34"/>
      <c r="Q14" s="17"/>
      <c r="R14" s="35">
        <f t="shared" si="6"/>
        <v>0</v>
      </c>
    </row>
    <row r="15">
      <c r="A15" s="9" t="s">
        <v>43</v>
      </c>
      <c r="B15" s="33" t="s">
        <v>47</v>
      </c>
      <c r="C15" s="43" t="s">
        <v>62</v>
      </c>
      <c r="E15" s="45" t="s">
        <v>67</v>
      </c>
      <c r="F15" s="21" t="s">
        <v>31</v>
      </c>
      <c r="G15" s="10"/>
      <c r="H15" s="16" t="s">
        <v>20</v>
      </c>
      <c r="J15" s="39" t="s">
        <v>36</v>
      </c>
      <c r="K15" s="21" t="s">
        <v>31</v>
      </c>
      <c r="L15" s="8">
        <f t="shared" si="1"/>
        <v>8</v>
      </c>
      <c r="M15" s="8">
        <f t="shared" si="2"/>
        <v>1</v>
      </c>
      <c r="N15" s="8">
        <f t="shared" si="3"/>
        <v>6</v>
      </c>
      <c r="O15" s="8">
        <f t="shared" si="4"/>
        <v>1</v>
      </c>
      <c r="P15" s="34">
        <v>2.0</v>
      </c>
      <c r="Q15" s="17">
        <v>2.0</v>
      </c>
      <c r="R15" s="35">
        <f t="shared" si="6"/>
        <v>0</v>
      </c>
    </row>
    <row r="16" ht="20.25" customHeight="1">
      <c r="A16" s="9" t="s">
        <v>48</v>
      </c>
      <c r="E16" s="10"/>
      <c r="F16" s="10"/>
      <c r="G16" s="29" t="s">
        <v>44</v>
      </c>
      <c r="H16" s="10"/>
      <c r="J16" s="32"/>
      <c r="K16" s="31" t="s">
        <v>45</v>
      </c>
      <c r="L16" s="8">
        <f t="shared" si="1"/>
        <v>7</v>
      </c>
      <c r="M16" s="8">
        <f t="shared" si="2"/>
        <v>0</v>
      </c>
      <c r="N16" s="8">
        <f t="shared" si="3"/>
        <v>7</v>
      </c>
      <c r="O16" s="8">
        <f t="shared" si="4"/>
        <v>0</v>
      </c>
      <c r="P16" s="34"/>
      <c r="Q16" s="17"/>
      <c r="R16" s="35">
        <f t="shared" si="6"/>
        <v>0</v>
      </c>
      <c r="S16" s="8" t="s">
        <v>142</v>
      </c>
    </row>
    <row r="17">
      <c r="A17" s="9" t="s">
        <v>52</v>
      </c>
      <c r="B17" s="12" t="s">
        <v>14</v>
      </c>
      <c r="C17" s="21" t="s">
        <v>31</v>
      </c>
      <c r="D17" s="33" t="s">
        <v>47</v>
      </c>
      <c r="E17" s="29" t="s">
        <v>44</v>
      </c>
      <c r="F17" s="14" t="s">
        <v>16</v>
      </c>
      <c r="G17" s="29" t="s">
        <v>44</v>
      </c>
      <c r="H17" s="12" t="s">
        <v>14</v>
      </c>
      <c r="J17" s="39" t="s">
        <v>36</v>
      </c>
      <c r="K17" s="43" t="s">
        <v>62</v>
      </c>
      <c r="L17" s="8">
        <f t="shared" si="1"/>
        <v>4</v>
      </c>
      <c r="M17" s="8">
        <f t="shared" si="2"/>
        <v>1</v>
      </c>
      <c r="N17" s="8">
        <f t="shared" si="3"/>
        <v>3</v>
      </c>
      <c r="O17" s="8">
        <f t="shared" si="4"/>
        <v>0</v>
      </c>
      <c r="P17" s="34"/>
      <c r="Q17" s="17"/>
      <c r="R17" s="35">
        <f t="shared" si="6"/>
        <v>0</v>
      </c>
    </row>
    <row r="18">
      <c r="A18" s="4"/>
      <c r="B18" s="5">
        <v>46188.0</v>
      </c>
      <c r="C18" s="5">
        <v>46189.0</v>
      </c>
      <c r="D18" s="5">
        <v>46190.0</v>
      </c>
      <c r="E18" s="5">
        <v>46191.0</v>
      </c>
      <c r="F18" s="5">
        <v>46192.0</v>
      </c>
      <c r="G18" s="5">
        <v>46193.0</v>
      </c>
      <c r="H18" s="5">
        <v>46194.0</v>
      </c>
      <c r="J18" s="32"/>
      <c r="K18" s="24" t="s">
        <v>33</v>
      </c>
      <c r="L18" s="8">
        <f t="shared" si="1"/>
        <v>5</v>
      </c>
      <c r="M18" s="8">
        <f t="shared" si="2"/>
        <v>0</v>
      </c>
      <c r="N18" s="8">
        <f t="shared" si="3"/>
        <v>5</v>
      </c>
      <c r="O18" s="8">
        <f t="shared" si="4"/>
        <v>0</v>
      </c>
      <c r="P18" s="34"/>
      <c r="Q18" s="17"/>
      <c r="R18" s="35">
        <f t="shared" si="6"/>
        <v>0</v>
      </c>
    </row>
    <row r="19">
      <c r="A19" s="9" t="s">
        <v>12</v>
      </c>
      <c r="B19" s="45" t="s">
        <v>67</v>
      </c>
      <c r="C19" s="33" t="s">
        <v>47</v>
      </c>
      <c r="D19" s="12" t="s">
        <v>14</v>
      </c>
      <c r="E19" s="14" t="s">
        <v>16</v>
      </c>
      <c r="F19" s="43" t="s">
        <v>62</v>
      </c>
      <c r="G19" s="26" t="s">
        <v>35</v>
      </c>
      <c r="H19" s="12" t="s">
        <v>14</v>
      </c>
      <c r="J19" s="32"/>
      <c r="K19" s="38" t="s">
        <v>50</v>
      </c>
      <c r="L19" s="8">
        <f t="shared" si="1"/>
        <v>9</v>
      </c>
      <c r="M19" s="8">
        <f t="shared" si="2"/>
        <v>0</v>
      </c>
      <c r="N19" s="8">
        <f t="shared" si="3"/>
        <v>9</v>
      </c>
      <c r="O19" s="8">
        <f t="shared" si="4"/>
        <v>0</v>
      </c>
      <c r="P19" s="34"/>
      <c r="Q19" s="17"/>
      <c r="R19" s="35">
        <f t="shared" si="6"/>
        <v>0</v>
      </c>
      <c r="S19" s="8" t="s">
        <v>147</v>
      </c>
    </row>
    <row r="20">
      <c r="A20" s="9" t="s">
        <v>18</v>
      </c>
      <c r="B20" s="10"/>
      <c r="C20" s="10"/>
      <c r="D20" s="10"/>
      <c r="E20" s="10"/>
      <c r="F20" s="10"/>
      <c r="G20" s="10"/>
      <c r="H20" s="10"/>
      <c r="J20" s="39" t="s">
        <v>36</v>
      </c>
      <c r="K20" s="45" t="s">
        <v>67</v>
      </c>
      <c r="L20" s="8">
        <f t="shared" si="1"/>
        <v>8</v>
      </c>
      <c r="M20" s="8">
        <f t="shared" si="2"/>
        <v>2</v>
      </c>
      <c r="N20" s="8">
        <f t="shared" si="3"/>
        <v>5</v>
      </c>
      <c r="O20" s="8">
        <f t="shared" si="4"/>
        <v>1</v>
      </c>
      <c r="P20" s="34"/>
      <c r="Q20" s="17"/>
      <c r="R20" s="35">
        <f t="shared" si="6"/>
        <v>0</v>
      </c>
      <c r="S20" s="8"/>
    </row>
    <row r="21">
      <c r="A21" s="9" t="s">
        <v>22</v>
      </c>
      <c r="B21" s="18">
        <v>4.0</v>
      </c>
      <c r="C21" s="18" t="s">
        <v>148</v>
      </c>
      <c r="D21" s="18">
        <v>2.0</v>
      </c>
      <c r="E21" s="18">
        <v>1.0</v>
      </c>
      <c r="F21" s="18">
        <v>0.0</v>
      </c>
      <c r="G21" s="18" t="s">
        <v>149</v>
      </c>
      <c r="H21" s="18">
        <v>4.0</v>
      </c>
      <c r="J21" s="32"/>
      <c r="K21" s="53" t="s">
        <v>79</v>
      </c>
      <c r="L21" s="8">
        <f t="shared" si="1"/>
        <v>1</v>
      </c>
      <c r="M21" s="8">
        <f t="shared" si="2"/>
        <v>0</v>
      </c>
      <c r="N21" s="8">
        <f t="shared" si="3"/>
        <v>1</v>
      </c>
      <c r="O21" s="8">
        <f t="shared" si="4"/>
        <v>0</v>
      </c>
      <c r="P21" s="34"/>
      <c r="Q21" s="17"/>
      <c r="R21" s="35">
        <f t="shared" si="6"/>
        <v>0</v>
      </c>
    </row>
    <row r="22">
      <c r="A22" s="9" t="s">
        <v>26</v>
      </c>
      <c r="B22" s="31" t="s">
        <v>45</v>
      </c>
      <c r="C22" s="43" t="s">
        <v>62</v>
      </c>
      <c r="D22" s="14" t="s">
        <v>16</v>
      </c>
      <c r="E22" s="38" t="s">
        <v>50</v>
      </c>
      <c r="F22" s="21" t="s">
        <v>31</v>
      </c>
      <c r="G22" s="24" t="s">
        <v>33</v>
      </c>
      <c r="H22" s="24" t="s">
        <v>33</v>
      </c>
      <c r="I22" s="8" t="s">
        <v>0</v>
      </c>
      <c r="J22" s="32"/>
      <c r="K22" s="16" t="s">
        <v>20</v>
      </c>
      <c r="L22" s="8">
        <f t="shared" si="1"/>
        <v>4</v>
      </c>
      <c r="M22" s="8">
        <f t="shared" si="2"/>
        <v>0</v>
      </c>
      <c r="N22" s="8">
        <f t="shared" si="3"/>
        <v>4</v>
      </c>
      <c r="O22" s="8">
        <f t="shared" si="4"/>
        <v>0</v>
      </c>
      <c r="P22" s="34"/>
      <c r="Q22" s="17"/>
      <c r="R22" s="35">
        <f t="shared" si="6"/>
        <v>0</v>
      </c>
    </row>
    <row r="23">
      <c r="A23" s="9" t="s">
        <v>43</v>
      </c>
      <c r="B23" s="53" t="s">
        <v>79</v>
      </c>
      <c r="C23" s="16" t="s">
        <v>20</v>
      </c>
      <c r="D23" s="10"/>
      <c r="E23" s="21" t="s">
        <v>31</v>
      </c>
      <c r="F23" s="33" t="s">
        <v>47</v>
      </c>
      <c r="G23" s="38" t="s">
        <v>50</v>
      </c>
      <c r="H23" s="77" t="s">
        <v>133</v>
      </c>
      <c r="I23" s="8" t="s">
        <v>0</v>
      </c>
      <c r="J23" s="39" t="s">
        <v>36</v>
      </c>
      <c r="K23" s="76" t="s">
        <v>122</v>
      </c>
      <c r="L23" s="8">
        <f t="shared" si="1"/>
        <v>1</v>
      </c>
      <c r="M23" s="8">
        <f t="shared" si="2"/>
        <v>0</v>
      </c>
      <c r="N23" s="8">
        <f t="shared" si="3"/>
        <v>1</v>
      </c>
      <c r="O23" s="8">
        <f t="shared" si="4"/>
        <v>0</v>
      </c>
      <c r="Q23" s="17"/>
      <c r="R23" s="35">
        <f t="shared" si="6"/>
        <v>0</v>
      </c>
    </row>
    <row r="24">
      <c r="A24" s="9" t="s">
        <v>48</v>
      </c>
      <c r="B24" s="10"/>
      <c r="C24" s="10"/>
      <c r="D24" s="10"/>
      <c r="E24" s="10"/>
      <c r="F24" s="10"/>
      <c r="G24" s="10"/>
      <c r="H24" s="10"/>
      <c r="I24" s="8" t="s">
        <v>0</v>
      </c>
      <c r="J24" s="32"/>
      <c r="K24" s="77" t="s">
        <v>133</v>
      </c>
      <c r="L24" s="8">
        <f t="shared" si="1"/>
        <v>1</v>
      </c>
      <c r="M24" s="8">
        <f t="shared" si="2"/>
        <v>0</v>
      </c>
      <c r="N24" s="8">
        <f t="shared" si="3"/>
        <v>1</v>
      </c>
      <c r="O24" s="8">
        <f t="shared" si="4"/>
        <v>0</v>
      </c>
      <c r="R24" s="35">
        <f t="shared" si="6"/>
        <v>0</v>
      </c>
    </row>
    <row r="25">
      <c r="A25" s="9" t="s">
        <v>52</v>
      </c>
      <c r="B25" s="12" t="s">
        <v>14</v>
      </c>
      <c r="C25" s="30" t="s">
        <v>46</v>
      </c>
      <c r="D25" s="29" t="s">
        <v>44</v>
      </c>
      <c r="E25" s="12" t="s">
        <v>14</v>
      </c>
      <c r="F25" s="29" t="s">
        <v>44</v>
      </c>
      <c r="G25" s="12" t="s">
        <v>14</v>
      </c>
      <c r="H25" s="29" t="s">
        <v>44</v>
      </c>
      <c r="J25" s="32"/>
      <c r="R25" s="35"/>
    </row>
    <row r="26">
      <c r="A26" s="4"/>
      <c r="B26" s="5">
        <v>46195.0</v>
      </c>
      <c r="C26" s="5">
        <v>46196.0</v>
      </c>
      <c r="D26" s="5">
        <v>46197.0</v>
      </c>
      <c r="E26" s="5">
        <v>46198.0</v>
      </c>
      <c r="F26" s="5">
        <v>46199.0</v>
      </c>
      <c r="G26" s="5">
        <v>46200.0</v>
      </c>
      <c r="H26" s="5">
        <v>46201.0</v>
      </c>
      <c r="I26" s="55"/>
      <c r="J26" s="32"/>
      <c r="R26" s="35"/>
      <c r="T26" s="56"/>
      <c r="U26" s="56"/>
    </row>
    <row r="27">
      <c r="A27" s="9" t="s">
        <v>12</v>
      </c>
      <c r="B27" s="14" t="s">
        <v>16</v>
      </c>
      <c r="C27" s="33" t="s">
        <v>47</v>
      </c>
      <c r="D27" s="14" t="s">
        <v>16</v>
      </c>
      <c r="E27" s="21" t="s">
        <v>31</v>
      </c>
      <c r="F27" s="33" t="s">
        <v>47</v>
      </c>
      <c r="G27" s="12" t="s">
        <v>14</v>
      </c>
      <c r="H27" s="30" t="s">
        <v>46</v>
      </c>
      <c r="J27" s="32"/>
      <c r="R27" s="35"/>
      <c r="AA27" s="57"/>
    </row>
    <row r="28">
      <c r="A28" s="9" t="s">
        <v>18</v>
      </c>
      <c r="B28" s="10"/>
      <c r="C28" s="10"/>
      <c r="D28" s="10"/>
      <c r="E28" s="10"/>
      <c r="F28" s="10"/>
      <c r="G28" s="10"/>
      <c r="H28" s="10"/>
      <c r="J28" s="58"/>
      <c r="K28" s="59"/>
      <c r="L28" s="59"/>
      <c r="M28" s="59"/>
      <c r="N28" s="59"/>
      <c r="O28" s="59"/>
      <c r="P28" s="59"/>
      <c r="Q28" s="59"/>
      <c r="R28" s="60"/>
    </row>
    <row r="29">
      <c r="A29" s="9" t="s">
        <v>22</v>
      </c>
      <c r="B29" s="18">
        <v>1.0</v>
      </c>
      <c r="C29" s="18" t="s">
        <v>148</v>
      </c>
      <c r="D29" s="18" t="s">
        <v>152</v>
      </c>
      <c r="E29" s="18">
        <v>2.0</v>
      </c>
      <c r="F29" s="18">
        <v>0.0</v>
      </c>
      <c r="G29" s="18">
        <v>0.0</v>
      </c>
      <c r="H29" s="18">
        <v>5.0</v>
      </c>
      <c r="I29" s="55"/>
    </row>
    <row r="30">
      <c r="A30" s="9" t="s">
        <v>26</v>
      </c>
      <c r="B30" s="31" t="s">
        <v>45</v>
      </c>
      <c r="C30" s="38" t="s">
        <v>50</v>
      </c>
      <c r="D30" s="11" t="s">
        <v>13</v>
      </c>
      <c r="E30" s="45" t="s">
        <v>67</v>
      </c>
      <c r="F30" s="16" t="s">
        <v>20</v>
      </c>
      <c r="G30" s="24" t="s">
        <v>33</v>
      </c>
      <c r="H30" s="24" t="s">
        <v>33</v>
      </c>
      <c r="I30" s="55"/>
      <c r="K30" s="8" t="s">
        <v>92</v>
      </c>
    </row>
    <row r="31">
      <c r="A31" s="9" t="s">
        <v>43</v>
      </c>
      <c r="B31" s="21" t="s">
        <v>31</v>
      </c>
      <c r="C31" s="30" t="s">
        <v>46</v>
      </c>
      <c r="D31" s="45" t="s">
        <v>67</v>
      </c>
      <c r="E31" s="14" t="s">
        <v>16</v>
      </c>
      <c r="F31" s="14" t="s">
        <v>16</v>
      </c>
      <c r="G31" s="45" t="s">
        <v>67</v>
      </c>
      <c r="H31" s="38" t="s">
        <v>50</v>
      </c>
      <c r="I31" s="55"/>
      <c r="K31" s="79" t="s">
        <v>47</v>
      </c>
    </row>
    <row r="32">
      <c r="A32" s="9" t="s">
        <v>48</v>
      </c>
      <c r="B32" s="10"/>
      <c r="C32" s="10"/>
      <c r="D32" s="10"/>
      <c r="E32" s="10"/>
      <c r="F32" s="10"/>
      <c r="G32" s="10"/>
      <c r="H32" s="10"/>
      <c r="I32" s="55"/>
      <c r="K32" s="80" t="s">
        <v>16</v>
      </c>
    </row>
    <row r="33">
      <c r="A33" s="9" t="s">
        <v>52</v>
      </c>
      <c r="B33" s="12" t="s">
        <v>14</v>
      </c>
      <c r="C33" s="29" t="s">
        <v>44</v>
      </c>
      <c r="D33" s="33" t="s">
        <v>47</v>
      </c>
      <c r="E33" s="13" t="s">
        <v>15</v>
      </c>
      <c r="F33" s="81" t="s">
        <v>13</v>
      </c>
      <c r="G33" s="29" t="s">
        <v>44</v>
      </c>
      <c r="H33" s="11" t="s">
        <v>13</v>
      </c>
      <c r="K33" s="82" t="s">
        <v>46</v>
      </c>
    </row>
    <row r="34">
      <c r="A34" s="4"/>
      <c r="B34" s="5">
        <v>46202.0</v>
      </c>
      <c r="C34" s="5">
        <v>46203.0</v>
      </c>
      <c r="D34" s="5"/>
      <c r="E34" s="5"/>
      <c r="F34" s="5"/>
      <c r="G34" s="5"/>
      <c r="H34" s="5"/>
      <c r="I34" s="61"/>
      <c r="K34" s="83" t="s">
        <v>15</v>
      </c>
    </row>
    <row r="35">
      <c r="A35" s="9" t="s">
        <v>12</v>
      </c>
      <c r="B35" s="14" t="s">
        <v>16</v>
      </c>
      <c r="C35" s="12" t="s">
        <v>14</v>
      </c>
      <c r="D35" s="10"/>
      <c r="E35" s="10"/>
      <c r="F35" s="10"/>
      <c r="G35" s="10"/>
      <c r="H35" s="10"/>
      <c r="K35" s="81" t="s">
        <v>13</v>
      </c>
    </row>
    <row r="36">
      <c r="A36" s="9" t="s">
        <v>18</v>
      </c>
      <c r="B36" s="10"/>
      <c r="C36" s="10"/>
      <c r="D36" s="10"/>
      <c r="E36" s="10"/>
      <c r="F36" s="10"/>
      <c r="G36" s="10"/>
      <c r="H36" s="10"/>
      <c r="K36" s="84" t="s">
        <v>31</v>
      </c>
    </row>
    <row r="37">
      <c r="A37" s="9" t="s">
        <v>22</v>
      </c>
      <c r="B37" s="18">
        <v>4.0</v>
      </c>
      <c r="C37" s="18" t="s">
        <v>156</v>
      </c>
      <c r="D37" s="18"/>
      <c r="E37" s="18"/>
      <c r="F37" s="18"/>
      <c r="G37" s="18"/>
      <c r="H37" s="18"/>
      <c r="K37" s="43" t="s">
        <v>62</v>
      </c>
    </row>
    <row r="38">
      <c r="A38" s="9" t="s">
        <v>26</v>
      </c>
      <c r="B38" s="31" t="s">
        <v>45</v>
      </c>
      <c r="C38" s="16" t="s">
        <v>20</v>
      </c>
      <c r="D38" s="10"/>
      <c r="E38" s="10"/>
      <c r="F38" s="10"/>
      <c r="G38" s="10"/>
      <c r="H38" s="10"/>
      <c r="K38" s="86" t="s">
        <v>67</v>
      </c>
    </row>
    <row r="39">
      <c r="A39" s="9" t="s">
        <v>43</v>
      </c>
      <c r="B39" s="13" t="s">
        <v>15</v>
      </c>
      <c r="C39" s="13" t="s">
        <v>15</v>
      </c>
      <c r="D39" s="10"/>
      <c r="E39" s="10"/>
      <c r="F39" s="10"/>
      <c r="G39" s="10"/>
      <c r="H39" s="10"/>
    </row>
    <row r="40">
      <c r="A40" s="9" t="s">
        <v>48</v>
      </c>
      <c r="B40" s="10"/>
      <c r="C40" s="10"/>
      <c r="D40" s="10"/>
      <c r="E40" s="10"/>
      <c r="F40" s="10"/>
      <c r="G40" s="10"/>
      <c r="H40" s="10"/>
      <c r="I40" s="8"/>
      <c r="K40" s="8" t="s">
        <v>159</v>
      </c>
    </row>
    <row r="41">
      <c r="A41" s="9" t="s">
        <v>52</v>
      </c>
      <c r="B41" s="45" t="s">
        <v>67</v>
      </c>
      <c r="C41" s="29" t="s">
        <v>44</v>
      </c>
      <c r="D41" s="10"/>
      <c r="E41" s="10"/>
      <c r="F41" s="10"/>
      <c r="G41" s="10"/>
      <c r="H41" s="10"/>
      <c r="I41" s="8"/>
      <c r="K41" s="8" t="s">
        <v>160</v>
      </c>
    </row>
    <row r="42">
      <c r="A42" s="4"/>
      <c r="B42" s="5"/>
      <c r="C42" s="5"/>
      <c r="D42" s="5"/>
      <c r="E42" s="5"/>
      <c r="F42" s="5"/>
      <c r="G42" s="5"/>
      <c r="H42" s="5"/>
      <c r="I42" s="61"/>
    </row>
    <row r="43">
      <c r="A43" s="9" t="s">
        <v>12</v>
      </c>
      <c r="B43" s="10"/>
      <c r="C43" s="10"/>
      <c r="D43" s="10"/>
      <c r="E43" s="10"/>
      <c r="F43" s="10"/>
      <c r="G43" s="10"/>
      <c r="H43" s="10"/>
      <c r="I43" s="61"/>
    </row>
    <row r="44">
      <c r="A44" s="9" t="s">
        <v>18</v>
      </c>
      <c r="B44" s="10"/>
      <c r="C44" s="10"/>
      <c r="D44" s="10"/>
      <c r="E44" s="10"/>
      <c r="F44" s="10"/>
      <c r="G44" s="10"/>
      <c r="H44" s="10"/>
      <c r="I44" s="61"/>
    </row>
    <row r="45">
      <c r="A45" s="9" t="s">
        <v>22</v>
      </c>
      <c r="B45" s="18"/>
      <c r="C45" s="18"/>
      <c r="D45" s="18"/>
      <c r="E45" s="18"/>
      <c r="F45" s="18"/>
      <c r="G45" s="18"/>
      <c r="H45" s="18"/>
      <c r="I45" s="61"/>
    </row>
    <row r="46">
      <c r="A46" s="9" t="s">
        <v>26</v>
      </c>
      <c r="B46" s="10"/>
      <c r="C46" s="10"/>
      <c r="D46" s="10"/>
      <c r="E46" s="10"/>
      <c r="F46" s="10"/>
      <c r="G46" s="10"/>
      <c r="H46" s="10"/>
    </row>
    <row r="47">
      <c r="A47" s="9" t="s">
        <v>43</v>
      </c>
      <c r="B47" s="10"/>
      <c r="C47" s="10"/>
      <c r="D47" s="10"/>
      <c r="E47" s="10"/>
      <c r="F47" s="10"/>
      <c r="G47" s="10"/>
      <c r="H47" s="10"/>
    </row>
    <row r="48">
      <c r="A48" s="9" t="s">
        <v>48</v>
      </c>
      <c r="B48" s="10"/>
      <c r="C48" s="10"/>
      <c r="D48" s="10"/>
      <c r="E48" s="10"/>
      <c r="F48" s="10"/>
      <c r="G48" s="10"/>
      <c r="H48" s="10"/>
      <c r="I48" s="6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>
      <c r="A49" s="9" t="s">
        <v>52</v>
      </c>
      <c r="B49" s="10"/>
      <c r="C49" s="10"/>
      <c r="D49" s="10"/>
      <c r="E49" s="10"/>
      <c r="F49" s="10"/>
      <c r="G49" s="10"/>
      <c r="H49" s="10"/>
      <c r="I49" s="65"/>
      <c r="J49" s="65"/>
      <c r="Q49" s="65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I50" s="65"/>
      <c r="J50" s="65"/>
      <c r="Q50" s="65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Q51" s="65"/>
    </row>
    <row r="52">
      <c r="I52" s="67"/>
      <c r="J52" s="68"/>
      <c r="R52" s="69"/>
    </row>
    <row r="53">
      <c r="I53" s="61"/>
      <c r="J53" s="61"/>
      <c r="R53" s="69"/>
    </row>
    <row r="54">
      <c r="I54" s="61"/>
      <c r="J54" s="61"/>
      <c r="R54" s="69"/>
    </row>
    <row r="55">
      <c r="I55" s="61"/>
      <c r="J55" s="61"/>
      <c r="R55" s="69"/>
    </row>
    <row r="56">
      <c r="I56" s="70"/>
      <c r="J56" s="70"/>
      <c r="R56" s="69"/>
    </row>
    <row r="57">
      <c r="I57" s="71"/>
      <c r="J57" s="71"/>
      <c r="R57" s="69"/>
    </row>
    <row r="58">
      <c r="I58" s="72"/>
      <c r="J58" s="72"/>
      <c r="K58" s="71"/>
      <c r="R58" s="69"/>
    </row>
    <row r="59">
      <c r="K59" s="71"/>
      <c r="R59" s="69"/>
    </row>
    <row r="61">
      <c r="Q61" s="73"/>
      <c r="R61" s="73"/>
    </row>
    <row r="62">
      <c r="Q62" s="73"/>
      <c r="R62" s="73"/>
    </row>
    <row r="63">
      <c r="Q63" s="73"/>
      <c r="R63" s="73"/>
    </row>
    <row r="66">
      <c r="I66" s="8" t="s">
        <v>109</v>
      </c>
      <c r="J66" s="8"/>
    </row>
    <row r="72">
      <c r="F72" s="75"/>
    </row>
    <row r="73">
      <c r="F73" s="75"/>
    </row>
    <row r="74">
      <c r="F74" s="75"/>
    </row>
    <row r="75">
      <c r="F75" s="75"/>
    </row>
    <row r="76">
      <c r="F76" s="75"/>
    </row>
    <row r="77">
      <c r="F77" s="75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F83" s="75"/>
    </row>
    <row r="84">
      <c r="E84" s="66"/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  <row r="1011">
      <c r="F1011" s="75"/>
    </row>
    <row r="1012">
      <c r="F1012" s="75"/>
    </row>
    <row r="1013">
      <c r="F1013" s="75"/>
    </row>
    <row r="1014">
      <c r="F1014" s="75"/>
    </row>
    <row r="1015">
      <c r="F1015" s="75"/>
    </row>
    <row r="1016">
      <c r="F1016" s="75"/>
    </row>
    <row r="1017">
      <c r="F1017" s="75"/>
    </row>
    <row r="1018">
      <c r="F1018" s="75"/>
    </row>
  </sheetData>
  <mergeCells count="3">
    <mergeCell ref="L66:Q66"/>
    <mergeCell ref="L67:P67"/>
    <mergeCell ref="L68:P68"/>
  </mergeCells>
  <conditionalFormatting sqref="B2:H2 B10:H10 B18:H18 B26:H26 B34:H34 B42:H42">
    <cfRule type="expression" dxfId="0" priority="1">
      <formula>AND(TRUNC(B2)&gt;=EDATE(TODAY(),-12)+1,TRUNC(B2)&lt;=TODAY())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4.75"/>
    <col customWidth="1" min="4" max="4" width="15.5"/>
    <col customWidth="1" min="5" max="5" width="19.5"/>
    <col customWidth="1" min="6" max="6" width="18.25"/>
    <col customWidth="1" min="7" max="7" width="17.75"/>
    <col customWidth="1" min="8" max="8" width="18.25"/>
    <col customWidth="1" min="10" max="10" width="5.38"/>
    <col customWidth="1" min="11" max="11" width="17.88"/>
    <col customWidth="1" min="12" max="12" width="13.38"/>
    <col customWidth="1" min="13" max="13" width="2.63"/>
    <col customWidth="1" min="14" max="14" width="2.88"/>
    <col customWidth="1" min="15" max="15" width="2.25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</row>
    <row r="2">
      <c r="A2" s="4"/>
      <c r="B2" s="5"/>
      <c r="C2" s="5"/>
      <c r="D2" s="5">
        <v>46204.0</v>
      </c>
      <c r="E2" s="5">
        <v>46205.0</v>
      </c>
      <c r="F2" s="5">
        <v>46206.0</v>
      </c>
      <c r="G2" s="5">
        <v>46207.0</v>
      </c>
      <c r="H2" s="5">
        <v>46208.0</v>
      </c>
      <c r="I2" s="7" t="s">
        <v>10</v>
      </c>
      <c r="K2" s="8" t="s">
        <v>11</v>
      </c>
    </row>
    <row r="3">
      <c r="A3" s="9" t="s">
        <v>12</v>
      </c>
      <c r="B3" s="10"/>
      <c r="C3" s="10"/>
      <c r="D3" s="14" t="s">
        <v>16</v>
      </c>
      <c r="E3" s="12" t="s">
        <v>14</v>
      </c>
      <c r="F3" s="11" t="s">
        <v>13</v>
      </c>
      <c r="G3" s="45" t="s">
        <v>67</v>
      </c>
      <c r="H3" s="13" t="s">
        <v>15</v>
      </c>
      <c r="K3" s="8" t="s">
        <v>17</v>
      </c>
    </row>
    <row r="4">
      <c r="A4" s="9" t="s">
        <v>18</v>
      </c>
      <c r="B4" s="10"/>
      <c r="C4" s="10"/>
      <c r="D4" s="10"/>
      <c r="E4" s="10"/>
      <c r="F4" s="10"/>
      <c r="G4" s="10"/>
      <c r="H4" s="10"/>
      <c r="K4" s="8" t="s">
        <v>21</v>
      </c>
      <c r="S4" s="17"/>
      <c r="T4" s="17"/>
      <c r="U4" s="17"/>
    </row>
    <row r="5">
      <c r="A5" s="9" t="s">
        <v>22</v>
      </c>
      <c r="B5" s="18"/>
      <c r="C5" s="18"/>
      <c r="D5" s="18" t="s">
        <v>123</v>
      </c>
      <c r="E5" s="18"/>
      <c r="F5" s="18" t="s">
        <v>128</v>
      </c>
      <c r="G5" s="18" t="s">
        <v>129</v>
      </c>
      <c r="H5" s="18" t="s">
        <v>130</v>
      </c>
      <c r="K5" s="8" t="s">
        <v>25</v>
      </c>
    </row>
    <row r="6">
      <c r="A6" s="9" t="s">
        <v>131</v>
      </c>
      <c r="B6" s="10"/>
      <c r="C6" s="10"/>
      <c r="D6" s="38" t="s">
        <v>50</v>
      </c>
      <c r="E6" s="14" t="s">
        <v>16</v>
      </c>
      <c r="F6" s="38" t="s">
        <v>50</v>
      </c>
      <c r="G6" s="26" t="s">
        <v>35</v>
      </c>
      <c r="H6" s="24" t="s">
        <v>33</v>
      </c>
      <c r="J6" s="20"/>
      <c r="K6" s="23"/>
      <c r="L6" s="25" t="s">
        <v>34</v>
      </c>
      <c r="M6" s="25" t="s">
        <v>36</v>
      </c>
      <c r="N6" s="25" t="s">
        <v>37</v>
      </c>
      <c r="O6" s="25" t="s">
        <v>38</v>
      </c>
      <c r="P6" s="27" t="s">
        <v>39</v>
      </c>
      <c r="Q6" s="27" t="s">
        <v>41</v>
      </c>
      <c r="R6" s="28" t="s">
        <v>42</v>
      </c>
    </row>
    <row r="7">
      <c r="A7" s="9" t="s">
        <v>132</v>
      </c>
      <c r="B7" s="10"/>
      <c r="C7" s="10"/>
      <c r="D7" s="31" t="s">
        <v>45</v>
      </c>
      <c r="E7" s="45" t="s">
        <v>67</v>
      </c>
      <c r="F7" s="77" t="s">
        <v>133</v>
      </c>
      <c r="H7" s="45" t="s">
        <v>67</v>
      </c>
      <c r="J7" s="32"/>
      <c r="K7" s="12" t="s">
        <v>14</v>
      </c>
      <c r="L7" s="8">
        <f t="shared" ref="L7:L24" si="1">sum(M7:O7)</f>
        <v>16</v>
      </c>
      <c r="M7" s="8">
        <f t="shared" ref="M7:M24" si="2">SUMPRODUCT(($A$3:$A$49=$A$3)*($B$3:$H$49=$K7))+SUMPRODUCT(($A$3:$A$49=$A$4)*($B$3:$H$49=$K7))</f>
        <v>4</v>
      </c>
      <c r="N7" s="8">
        <f t="shared" ref="N7:N24" si="3">SUMPRODUCT(($A$3:$A$49=$A$6)*($B$3:$H$49=$K7))+SUMPRODUCT(($A$3:$A$49=$A$7)*($B$3:$H$49=$K7))+SUMPRODUCT(($A$3:$A$49=$A$8)*($B$3:$H$49=$K7))</f>
        <v>0</v>
      </c>
      <c r="O7" s="8">
        <f t="shared" ref="O7:O24" si="4">SUMPRODUCT(($A$3:$A$49=$A$9)*($B$3:$H$49=$K7))</f>
        <v>12</v>
      </c>
      <c r="P7" s="34">
        <f t="shared" ref="P7:P24" si="5">QUOTIENT(L7,4)</f>
        <v>4</v>
      </c>
      <c r="Q7" s="17"/>
      <c r="R7" s="35">
        <f t="shared" ref="R7:R10" si="6">P7-Q7</f>
        <v>4</v>
      </c>
      <c r="S7" s="36">
        <f>(30-9)*8-2*5</f>
        <v>158</v>
      </c>
      <c r="T7" s="36">
        <f>M7*8+N7*5+O7*7</f>
        <v>116</v>
      </c>
    </row>
    <row r="8">
      <c r="A8" s="9" t="s">
        <v>140</v>
      </c>
      <c r="B8" s="10"/>
      <c r="C8" s="10"/>
      <c r="D8" s="10"/>
      <c r="E8" s="10"/>
      <c r="F8" s="10"/>
      <c r="G8" s="14" t="s">
        <v>16</v>
      </c>
      <c r="H8" s="10"/>
      <c r="J8" s="39" t="s">
        <v>36</v>
      </c>
      <c r="K8" s="29" t="s">
        <v>44</v>
      </c>
      <c r="L8" s="8">
        <f t="shared" si="1"/>
        <v>6</v>
      </c>
      <c r="M8" s="8">
        <f t="shared" si="2"/>
        <v>0</v>
      </c>
      <c r="N8" s="8">
        <f t="shared" si="3"/>
        <v>0</v>
      </c>
      <c r="O8" s="8">
        <f t="shared" si="4"/>
        <v>6</v>
      </c>
      <c r="P8" s="34">
        <f t="shared" si="5"/>
        <v>1</v>
      </c>
      <c r="Q8" s="17"/>
      <c r="R8" s="35">
        <f t="shared" si="6"/>
        <v>1</v>
      </c>
      <c r="S8" s="8" t="s">
        <v>127</v>
      </c>
    </row>
    <row r="9">
      <c r="A9" s="9" t="s">
        <v>141</v>
      </c>
      <c r="B9" s="10"/>
      <c r="C9" s="10"/>
      <c r="D9" s="33" t="s">
        <v>47</v>
      </c>
      <c r="E9" s="29" t="s">
        <v>44</v>
      </c>
      <c r="F9" s="29" t="s">
        <v>44</v>
      </c>
      <c r="G9" s="12" t="s">
        <v>14</v>
      </c>
      <c r="H9" s="11" t="s">
        <v>13</v>
      </c>
      <c r="I9" s="8"/>
      <c r="J9" s="39" t="s">
        <v>36</v>
      </c>
      <c r="K9" s="33" t="s">
        <v>47</v>
      </c>
      <c r="L9" s="8">
        <f t="shared" si="1"/>
        <v>8</v>
      </c>
      <c r="M9" s="8">
        <f t="shared" si="2"/>
        <v>4</v>
      </c>
      <c r="N9" s="8">
        <f t="shared" si="3"/>
        <v>1</v>
      </c>
      <c r="O9" s="8">
        <f t="shared" si="4"/>
        <v>3</v>
      </c>
      <c r="P9" s="34">
        <f t="shared" si="5"/>
        <v>2</v>
      </c>
      <c r="Q9" s="17"/>
      <c r="R9" s="35">
        <f t="shared" si="6"/>
        <v>2</v>
      </c>
    </row>
    <row r="10">
      <c r="A10" s="4"/>
      <c r="B10" s="5">
        <v>46209.0</v>
      </c>
      <c r="C10" s="5">
        <v>46210.0</v>
      </c>
      <c r="D10" s="5">
        <v>46211.0</v>
      </c>
      <c r="E10" s="5">
        <v>46212.0</v>
      </c>
      <c r="F10" s="5">
        <v>46213.0</v>
      </c>
      <c r="G10" s="5">
        <v>46214.0</v>
      </c>
      <c r="H10" s="5">
        <v>46215.0</v>
      </c>
      <c r="I10" s="8"/>
      <c r="J10" s="39" t="s">
        <v>36</v>
      </c>
      <c r="K10" s="14" t="s">
        <v>16</v>
      </c>
      <c r="L10" s="8">
        <f t="shared" si="1"/>
        <v>18</v>
      </c>
      <c r="M10" s="8">
        <f t="shared" si="2"/>
        <v>13</v>
      </c>
      <c r="N10" s="8">
        <f t="shared" si="3"/>
        <v>5</v>
      </c>
      <c r="O10" s="8">
        <f t="shared" si="4"/>
        <v>0</v>
      </c>
      <c r="P10" s="34">
        <f t="shared" si="5"/>
        <v>4</v>
      </c>
      <c r="Q10" s="17">
        <v>3.0</v>
      </c>
      <c r="R10" s="35">
        <f t="shared" si="6"/>
        <v>1</v>
      </c>
    </row>
    <row r="11">
      <c r="A11" s="9" t="s">
        <v>12</v>
      </c>
      <c r="B11" s="14" t="s">
        <v>16</v>
      </c>
      <c r="C11" s="33" t="s">
        <v>47</v>
      </c>
      <c r="D11" s="12" t="s">
        <v>14</v>
      </c>
      <c r="E11" s="14" t="s">
        <v>16</v>
      </c>
      <c r="F11" s="14" t="s">
        <v>16</v>
      </c>
      <c r="G11" s="26" t="s">
        <v>35</v>
      </c>
      <c r="H11" s="14" t="s">
        <v>16</v>
      </c>
      <c r="I11" s="8"/>
      <c r="J11" s="39" t="s">
        <v>36</v>
      </c>
      <c r="K11" s="30" t="s">
        <v>46</v>
      </c>
      <c r="L11" s="8">
        <f t="shared" si="1"/>
        <v>0</v>
      </c>
      <c r="M11" s="8">
        <f t="shared" si="2"/>
        <v>0</v>
      </c>
      <c r="N11" s="8">
        <f t="shared" si="3"/>
        <v>0</v>
      </c>
      <c r="O11" s="8">
        <f t="shared" si="4"/>
        <v>0</v>
      </c>
      <c r="P11" s="34">
        <f t="shared" si="5"/>
        <v>0</v>
      </c>
      <c r="S11" s="8" t="s">
        <v>134</v>
      </c>
    </row>
    <row r="12">
      <c r="A12" s="9" t="s">
        <v>18</v>
      </c>
      <c r="B12" s="10"/>
      <c r="C12" s="10"/>
      <c r="D12" s="10"/>
      <c r="E12" s="10"/>
      <c r="F12" s="10"/>
      <c r="G12" s="10"/>
      <c r="H12" s="10"/>
      <c r="J12" s="39" t="s">
        <v>36</v>
      </c>
      <c r="K12" s="13" t="s">
        <v>15</v>
      </c>
      <c r="L12" s="8">
        <f t="shared" si="1"/>
        <v>13</v>
      </c>
      <c r="M12" s="8">
        <f t="shared" si="2"/>
        <v>3</v>
      </c>
      <c r="N12" s="8">
        <f t="shared" si="3"/>
        <v>10</v>
      </c>
      <c r="O12" s="8">
        <f t="shared" si="4"/>
        <v>0</v>
      </c>
      <c r="P12" s="34">
        <f t="shared" si="5"/>
        <v>3</v>
      </c>
      <c r="Q12" s="17">
        <v>1.0</v>
      </c>
      <c r="R12" s="35">
        <f t="shared" ref="R12:R24" si="7">P12-Q12</f>
        <v>2</v>
      </c>
      <c r="S12" s="8"/>
    </row>
    <row r="13">
      <c r="A13" s="9" t="s">
        <v>22</v>
      </c>
      <c r="B13" s="18"/>
      <c r="C13" s="18"/>
      <c r="D13" s="18"/>
      <c r="E13" s="18" t="s">
        <v>143</v>
      </c>
      <c r="F13" s="18" t="s">
        <v>144</v>
      </c>
      <c r="G13" s="18" t="s">
        <v>145</v>
      </c>
      <c r="H13" s="18" t="s">
        <v>146</v>
      </c>
      <c r="J13" s="39" t="s">
        <v>36</v>
      </c>
      <c r="K13" s="11" t="s">
        <v>13</v>
      </c>
      <c r="L13" s="8">
        <f t="shared" si="1"/>
        <v>10</v>
      </c>
      <c r="M13" s="8">
        <f t="shared" si="2"/>
        <v>1</v>
      </c>
      <c r="N13" s="8">
        <f t="shared" si="3"/>
        <v>2</v>
      </c>
      <c r="O13" s="8">
        <f t="shared" si="4"/>
        <v>7</v>
      </c>
      <c r="P13" s="34">
        <f t="shared" si="5"/>
        <v>2</v>
      </c>
      <c r="Q13" s="17"/>
      <c r="R13" s="35">
        <f t="shared" si="7"/>
        <v>2</v>
      </c>
      <c r="S13" s="8" t="s">
        <v>139</v>
      </c>
    </row>
    <row r="14">
      <c r="A14" s="9" t="s">
        <v>131</v>
      </c>
      <c r="B14" s="38" t="s">
        <v>50</v>
      </c>
      <c r="C14" s="13" t="s">
        <v>15</v>
      </c>
      <c r="D14" s="13" t="s">
        <v>15</v>
      </c>
      <c r="E14" s="38" t="s">
        <v>50</v>
      </c>
      <c r="F14" s="38" t="s">
        <v>50</v>
      </c>
      <c r="G14" s="13" t="s">
        <v>15</v>
      </c>
      <c r="H14" s="24" t="s">
        <v>33</v>
      </c>
      <c r="J14" s="39"/>
      <c r="K14" s="26" t="s">
        <v>35</v>
      </c>
      <c r="L14" s="8">
        <f t="shared" si="1"/>
        <v>6</v>
      </c>
      <c r="M14" s="8">
        <f t="shared" si="2"/>
        <v>1</v>
      </c>
      <c r="N14" s="8">
        <f t="shared" si="3"/>
        <v>3</v>
      </c>
      <c r="O14" s="8">
        <f t="shared" si="4"/>
        <v>2</v>
      </c>
      <c r="P14" s="34">
        <f t="shared" si="5"/>
        <v>1</v>
      </c>
      <c r="Q14" s="17"/>
      <c r="R14" s="35">
        <f t="shared" si="7"/>
        <v>1</v>
      </c>
    </row>
    <row r="15">
      <c r="A15" s="9" t="s">
        <v>132</v>
      </c>
      <c r="B15" s="13" t="s">
        <v>15</v>
      </c>
      <c r="C15" s="38" t="s">
        <v>50</v>
      </c>
      <c r="D15" s="11" t="s">
        <v>13</v>
      </c>
      <c r="E15" s="10"/>
      <c r="F15" s="10"/>
      <c r="G15" s="16" t="s">
        <v>20</v>
      </c>
      <c r="H15" s="45" t="s">
        <v>67</v>
      </c>
      <c r="J15" s="39" t="s">
        <v>36</v>
      </c>
      <c r="K15" s="21" t="s">
        <v>31</v>
      </c>
      <c r="L15" s="8">
        <f t="shared" si="1"/>
        <v>7</v>
      </c>
      <c r="M15" s="8">
        <f t="shared" si="2"/>
        <v>2</v>
      </c>
      <c r="N15" s="8">
        <f t="shared" si="3"/>
        <v>5</v>
      </c>
      <c r="O15" s="8">
        <f t="shared" si="4"/>
        <v>0</v>
      </c>
      <c r="P15" s="34">
        <f t="shared" si="5"/>
        <v>1</v>
      </c>
      <c r="Q15" s="17"/>
      <c r="R15" s="35">
        <f t="shared" si="7"/>
        <v>1</v>
      </c>
      <c r="S15" s="8" t="s">
        <v>150</v>
      </c>
    </row>
    <row r="16" ht="20.25" customHeight="1">
      <c r="A16" s="9" t="s">
        <v>140</v>
      </c>
      <c r="B16" s="10"/>
      <c r="C16" s="10"/>
      <c r="D16" s="10"/>
      <c r="E16" s="10"/>
      <c r="F16" s="10"/>
      <c r="G16" s="10"/>
      <c r="H16" s="10"/>
      <c r="J16" s="32"/>
      <c r="K16" s="31" t="s">
        <v>45</v>
      </c>
      <c r="L16" s="8">
        <f t="shared" si="1"/>
        <v>6</v>
      </c>
      <c r="M16" s="8">
        <f t="shared" si="2"/>
        <v>0</v>
      </c>
      <c r="N16" s="8">
        <f t="shared" si="3"/>
        <v>6</v>
      </c>
      <c r="O16" s="8">
        <f t="shared" si="4"/>
        <v>0</v>
      </c>
      <c r="P16" s="34">
        <f t="shared" si="5"/>
        <v>1</v>
      </c>
      <c r="Q16" s="17"/>
      <c r="R16" s="35">
        <f t="shared" si="7"/>
        <v>1</v>
      </c>
      <c r="S16" s="8" t="s">
        <v>142</v>
      </c>
    </row>
    <row r="17">
      <c r="A17" s="9" t="s">
        <v>141</v>
      </c>
      <c r="B17" s="45" t="s">
        <v>67</v>
      </c>
      <c r="C17" s="12" t="s">
        <v>14</v>
      </c>
      <c r="D17" s="12" t="s">
        <v>14</v>
      </c>
      <c r="E17" s="11" t="s">
        <v>13</v>
      </c>
      <c r="F17" s="12" t="s">
        <v>14</v>
      </c>
      <c r="G17" s="29" t="s">
        <v>44</v>
      </c>
      <c r="H17" s="26" t="s">
        <v>35</v>
      </c>
      <c r="J17" s="39" t="s">
        <v>36</v>
      </c>
      <c r="K17" s="43" t="s">
        <v>62</v>
      </c>
      <c r="L17" s="8">
        <f t="shared" si="1"/>
        <v>0</v>
      </c>
      <c r="M17" s="8">
        <f t="shared" si="2"/>
        <v>0</v>
      </c>
      <c r="N17" s="8">
        <f t="shared" si="3"/>
        <v>0</v>
      </c>
      <c r="O17" s="8">
        <f t="shared" si="4"/>
        <v>0</v>
      </c>
      <c r="P17" s="34">
        <f t="shared" si="5"/>
        <v>0</v>
      </c>
      <c r="Q17" s="17"/>
      <c r="R17" s="35">
        <f t="shared" si="7"/>
        <v>0</v>
      </c>
      <c r="S17" s="8" t="s">
        <v>151</v>
      </c>
    </row>
    <row r="18">
      <c r="A18" s="4"/>
      <c r="B18" s="5">
        <v>46216.0</v>
      </c>
      <c r="C18" s="5">
        <v>46217.0</v>
      </c>
      <c r="D18" s="5">
        <v>46218.0</v>
      </c>
      <c r="E18" s="5">
        <v>46219.0</v>
      </c>
      <c r="F18" s="5">
        <v>46220.0</v>
      </c>
      <c r="G18" s="5">
        <v>46221.0</v>
      </c>
      <c r="H18" s="5">
        <v>46222.0</v>
      </c>
      <c r="J18" s="32"/>
      <c r="K18" s="24" t="s">
        <v>33</v>
      </c>
      <c r="L18" s="8">
        <f t="shared" si="1"/>
        <v>4</v>
      </c>
      <c r="M18" s="8">
        <f t="shared" si="2"/>
        <v>0</v>
      </c>
      <c r="N18" s="8">
        <f t="shared" si="3"/>
        <v>4</v>
      </c>
      <c r="O18" s="8">
        <f t="shared" si="4"/>
        <v>0</v>
      </c>
      <c r="P18" s="34">
        <f t="shared" si="5"/>
        <v>1</v>
      </c>
      <c r="Q18" s="17"/>
      <c r="R18" s="35">
        <f t="shared" si="7"/>
        <v>1</v>
      </c>
      <c r="S18" s="78">
        <v>46148.0</v>
      </c>
    </row>
    <row r="19">
      <c r="A19" s="9" t="s">
        <v>12</v>
      </c>
      <c r="B19" s="45" t="s">
        <v>67</v>
      </c>
      <c r="C19" s="33" t="s">
        <v>47</v>
      </c>
      <c r="D19" s="14" t="s">
        <v>16</v>
      </c>
      <c r="E19" s="14" t="s">
        <v>16</v>
      </c>
      <c r="F19" s="21" t="s">
        <v>31</v>
      </c>
      <c r="G19" s="13" t="s">
        <v>15</v>
      </c>
      <c r="H19" s="14" t="s">
        <v>16</v>
      </c>
      <c r="J19" s="32"/>
      <c r="K19" s="38" t="s">
        <v>50</v>
      </c>
      <c r="L19" s="8">
        <f t="shared" si="1"/>
        <v>6</v>
      </c>
      <c r="M19" s="8">
        <f t="shared" si="2"/>
        <v>0</v>
      </c>
      <c r="N19" s="8">
        <f t="shared" si="3"/>
        <v>6</v>
      </c>
      <c r="O19" s="8">
        <f t="shared" si="4"/>
        <v>0</v>
      </c>
      <c r="P19" s="34">
        <f t="shared" si="5"/>
        <v>1</v>
      </c>
      <c r="Q19" s="17"/>
      <c r="R19" s="35">
        <f t="shared" si="7"/>
        <v>1</v>
      </c>
      <c r="S19" s="8" t="s">
        <v>147</v>
      </c>
    </row>
    <row r="20">
      <c r="A20" s="9" t="s">
        <v>18</v>
      </c>
      <c r="B20" s="10"/>
      <c r="C20" s="10"/>
      <c r="D20" s="10"/>
      <c r="E20" s="10"/>
      <c r="F20" s="10"/>
      <c r="G20" s="10"/>
      <c r="H20" s="10"/>
      <c r="J20" s="39" t="s">
        <v>36</v>
      </c>
      <c r="K20" s="45" t="s">
        <v>67</v>
      </c>
      <c r="L20" s="8">
        <f t="shared" si="1"/>
        <v>11</v>
      </c>
      <c r="M20" s="8">
        <f t="shared" si="2"/>
        <v>3</v>
      </c>
      <c r="N20" s="8">
        <f t="shared" si="3"/>
        <v>7</v>
      </c>
      <c r="O20" s="8">
        <f t="shared" si="4"/>
        <v>1</v>
      </c>
      <c r="P20" s="34">
        <f t="shared" si="5"/>
        <v>2</v>
      </c>
      <c r="Q20" s="17"/>
      <c r="R20" s="35">
        <f t="shared" si="7"/>
        <v>2</v>
      </c>
      <c r="S20" s="8"/>
    </row>
    <row r="21">
      <c r="A21" s="9" t="s">
        <v>22</v>
      </c>
      <c r="B21" s="18" t="s">
        <v>153</v>
      </c>
      <c r="C21" s="18" t="s">
        <v>154</v>
      </c>
      <c r="D21" s="18" t="s">
        <v>123</v>
      </c>
      <c r="E21" s="18"/>
      <c r="F21" s="18"/>
      <c r="G21" s="18" t="s">
        <v>65</v>
      </c>
      <c r="H21" s="18" t="s">
        <v>155</v>
      </c>
      <c r="J21" s="32"/>
      <c r="K21" s="53" t="s">
        <v>79</v>
      </c>
      <c r="L21" s="8">
        <f t="shared" si="1"/>
        <v>1</v>
      </c>
      <c r="M21" s="8">
        <f t="shared" si="2"/>
        <v>0</v>
      </c>
      <c r="N21" s="8">
        <f t="shared" si="3"/>
        <v>1</v>
      </c>
      <c r="O21" s="8">
        <f t="shared" si="4"/>
        <v>0</v>
      </c>
      <c r="P21" s="34">
        <f t="shared" si="5"/>
        <v>0</v>
      </c>
      <c r="Q21" s="17"/>
      <c r="R21" s="35">
        <f t="shared" si="7"/>
        <v>0</v>
      </c>
    </row>
    <row r="22">
      <c r="A22" s="9" t="s">
        <v>131</v>
      </c>
      <c r="B22" s="31" t="s">
        <v>45</v>
      </c>
      <c r="C22" s="31" t="s">
        <v>45</v>
      </c>
      <c r="D22" s="13" t="s">
        <v>15</v>
      </c>
      <c r="E22" s="21" t="s">
        <v>31</v>
      </c>
      <c r="F22" s="14" t="s">
        <v>16</v>
      </c>
      <c r="G22" s="26" t="s">
        <v>35</v>
      </c>
      <c r="H22" s="24" t="s">
        <v>33</v>
      </c>
      <c r="I22" s="8" t="s">
        <v>0</v>
      </c>
      <c r="J22" s="32"/>
      <c r="K22" s="16" t="s">
        <v>20</v>
      </c>
      <c r="L22" s="8">
        <f t="shared" si="1"/>
        <v>4</v>
      </c>
      <c r="M22" s="8">
        <f t="shared" si="2"/>
        <v>0</v>
      </c>
      <c r="N22" s="8">
        <f t="shared" si="3"/>
        <v>4</v>
      </c>
      <c r="O22" s="8">
        <f t="shared" si="4"/>
        <v>0</v>
      </c>
      <c r="P22" s="34">
        <f t="shared" si="5"/>
        <v>1</v>
      </c>
      <c r="Q22" s="17"/>
      <c r="R22" s="35">
        <f t="shared" si="7"/>
        <v>1</v>
      </c>
    </row>
    <row r="23">
      <c r="A23" s="9" t="s">
        <v>132</v>
      </c>
      <c r="B23" s="13" t="s">
        <v>15</v>
      </c>
      <c r="C23" s="45" t="s">
        <v>67</v>
      </c>
      <c r="D23" s="21" t="s">
        <v>31</v>
      </c>
      <c r="E23" s="10"/>
      <c r="F23" s="10"/>
      <c r="G23" s="14" t="s">
        <v>16</v>
      </c>
      <c r="H23" s="16" t="s">
        <v>20</v>
      </c>
      <c r="I23" s="8" t="s">
        <v>0</v>
      </c>
      <c r="J23" s="39" t="s">
        <v>36</v>
      </c>
      <c r="K23" s="76" t="s">
        <v>122</v>
      </c>
      <c r="L23" s="8">
        <f t="shared" si="1"/>
        <v>0</v>
      </c>
      <c r="M23" s="8">
        <f t="shared" si="2"/>
        <v>0</v>
      </c>
      <c r="N23" s="8">
        <f t="shared" si="3"/>
        <v>0</v>
      </c>
      <c r="O23" s="8">
        <f t="shared" si="4"/>
        <v>0</v>
      </c>
      <c r="P23" s="34">
        <f t="shared" si="5"/>
        <v>0</v>
      </c>
      <c r="Q23" s="17"/>
      <c r="R23" s="35">
        <f t="shared" si="7"/>
        <v>0</v>
      </c>
    </row>
    <row r="24">
      <c r="A24" s="9" t="s">
        <v>140</v>
      </c>
      <c r="B24" s="10"/>
      <c r="C24" s="10"/>
      <c r="D24" s="10"/>
      <c r="E24" s="10"/>
      <c r="F24" s="10"/>
      <c r="G24" s="10"/>
      <c r="H24" s="10"/>
      <c r="I24" s="8" t="s">
        <v>0</v>
      </c>
      <c r="J24" s="32"/>
      <c r="K24" s="77" t="s">
        <v>133</v>
      </c>
      <c r="L24" s="8">
        <f t="shared" si="1"/>
        <v>1</v>
      </c>
      <c r="M24" s="8">
        <f t="shared" si="2"/>
        <v>0</v>
      </c>
      <c r="N24" s="8">
        <f t="shared" si="3"/>
        <v>1</v>
      </c>
      <c r="O24" s="8">
        <f t="shared" si="4"/>
        <v>0</v>
      </c>
      <c r="P24" s="34">
        <f t="shared" si="5"/>
        <v>0</v>
      </c>
      <c r="R24" s="35">
        <f t="shared" si="7"/>
        <v>0</v>
      </c>
    </row>
    <row r="25">
      <c r="A25" s="9" t="s">
        <v>141</v>
      </c>
      <c r="B25" s="12" t="s">
        <v>14</v>
      </c>
      <c r="C25" s="11" t="s">
        <v>13</v>
      </c>
      <c r="D25" s="33" t="s">
        <v>47</v>
      </c>
      <c r="E25" s="11" t="s">
        <v>13</v>
      </c>
      <c r="F25" s="12" t="s">
        <v>14</v>
      </c>
      <c r="G25" s="29" t="s">
        <v>44</v>
      </c>
      <c r="H25" s="33" t="s">
        <v>47</v>
      </c>
      <c r="J25" s="32"/>
      <c r="R25" s="35"/>
    </row>
    <row r="26">
      <c r="A26" s="4"/>
      <c r="B26" s="5">
        <v>46223.0</v>
      </c>
      <c r="C26" s="5">
        <v>46224.0</v>
      </c>
      <c r="D26" s="5">
        <v>46225.0</v>
      </c>
      <c r="E26" s="5">
        <v>46226.0</v>
      </c>
      <c r="F26" s="5">
        <v>46227.0</v>
      </c>
      <c r="G26" s="5">
        <v>46228.0</v>
      </c>
      <c r="H26" s="5">
        <v>46229.0</v>
      </c>
      <c r="I26" s="55"/>
      <c r="J26" s="32"/>
      <c r="R26" s="35"/>
      <c r="T26" s="56"/>
      <c r="U26" s="56"/>
    </row>
    <row r="27">
      <c r="A27" s="9" t="s">
        <v>12</v>
      </c>
      <c r="B27" s="14" t="s">
        <v>16</v>
      </c>
      <c r="C27" s="33" t="s">
        <v>47</v>
      </c>
      <c r="D27" s="12" t="s">
        <v>14</v>
      </c>
      <c r="E27" s="12" t="s">
        <v>14</v>
      </c>
      <c r="F27" s="21" t="s">
        <v>31</v>
      </c>
      <c r="G27" s="45" t="s">
        <v>67</v>
      </c>
      <c r="H27" s="14" t="s">
        <v>16</v>
      </c>
      <c r="J27" s="32"/>
      <c r="R27" s="35"/>
      <c r="AA27" s="57"/>
    </row>
    <row r="28">
      <c r="A28" s="9" t="s">
        <v>18</v>
      </c>
      <c r="B28" s="10"/>
      <c r="C28" s="10"/>
      <c r="D28" s="10"/>
      <c r="E28" s="10"/>
      <c r="F28" s="10"/>
      <c r="G28" s="10"/>
      <c r="H28" s="10"/>
      <c r="J28" s="58"/>
      <c r="K28" s="59"/>
      <c r="L28" s="59"/>
      <c r="M28" s="59"/>
      <c r="N28" s="59"/>
      <c r="O28" s="59"/>
      <c r="P28" s="59"/>
      <c r="Q28" s="59"/>
      <c r="R28" s="60"/>
    </row>
    <row r="29">
      <c r="A29" s="9" t="s">
        <v>22</v>
      </c>
      <c r="B29" s="18"/>
      <c r="C29" s="18"/>
      <c r="D29" s="18" t="s">
        <v>123</v>
      </c>
      <c r="E29" s="18"/>
      <c r="F29" s="18"/>
      <c r="G29" s="18"/>
      <c r="H29" s="18"/>
      <c r="I29" s="55"/>
    </row>
    <row r="30">
      <c r="A30" s="9" t="s">
        <v>131</v>
      </c>
      <c r="B30" s="31" t="s">
        <v>45</v>
      </c>
      <c r="C30" s="31" t="s">
        <v>45</v>
      </c>
      <c r="D30" s="16" t="s">
        <v>20</v>
      </c>
      <c r="E30" s="14" t="s">
        <v>16</v>
      </c>
      <c r="F30" s="13" t="s">
        <v>15</v>
      </c>
      <c r="G30" s="26" t="s">
        <v>35</v>
      </c>
      <c r="H30" s="24" t="s">
        <v>33</v>
      </c>
      <c r="I30" s="55"/>
      <c r="K30" s="8" t="s">
        <v>92</v>
      </c>
    </row>
    <row r="31">
      <c r="A31" s="9" t="s">
        <v>132</v>
      </c>
      <c r="B31" s="21" t="s">
        <v>31</v>
      </c>
      <c r="C31" s="21" t="s">
        <v>31</v>
      </c>
      <c r="D31" s="13" t="s">
        <v>15</v>
      </c>
      <c r="E31" s="10"/>
      <c r="F31" s="45" t="s">
        <v>67</v>
      </c>
      <c r="G31" s="13" t="s">
        <v>15</v>
      </c>
      <c r="H31" s="45" t="s">
        <v>67</v>
      </c>
      <c r="I31" s="55"/>
      <c r="K31" s="79" t="s">
        <v>47</v>
      </c>
    </row>
    <row r="32">
      <c r="A32" s="9" t="s">
        <v>140</v>
      </c>
      <c r="B32" s="10"/>
      <c r="C32" s="10"/>
      <c r="D32" s="10"/>
      <c r="E32" s="10"/>
      <c r="F32" s="10"/>
      <c r="G32" s="10"/>
      <c r="H32" s="10"/>
      <c r="I32" s="55"/>
      <c r="K32" s="80" t="s">
        <v>16</v>
      </c>
    </row>
    <row r="33">
      <c r="A33" s="9" t="s">
        <v>141</v>
      </c>
      <c r="B33" s="12" t="s">
        <v>14</v>
      </c>
      <c r="C33" s="11" t="s">
        <v>13</v>
      </c>
      <c r="D33" s="12" t="s">
        <v>14</v>
      </c>
      <c r="E33" s="11" t="s">
        <v>13</v>
      </c>
      <c r="F33" s="29" t="s">
        <v>44</v>
      </c>
      <c r="G33" s="29" t="s">
        <v>44</v>
      </c>
      <c r="H33" s="26" t="s">
        <v>35</v>
      </c>
      <c r="K33" s="82" t="s">
        <v>46</v>
      </c>
    </row>
    <row r="34">
      <c r="A34" s="4"/>
      <c r="B34" s="5">
        <v>46230.0</v>
      </c>
      <c r="C34" s="5">
        <v>46231.0</v>
      </c>
      <c r="D34" s="5">
        <v>46232.0</v>
      </c>
      <c r="E34" s="5">
        <v>46233.0</v>
      </c>
      <c r="F34" s="5">
        <v>46234.0</v>
      </c>
      <c r="G34" s="5"/>
      <c r="H34" s="5"/>
      <c r="I34" s="61"/>
      <c r="K34" s="83" t="s">
        <v>15</v>
      </c>
    </row>
    <row r="35">
      <c r="A35" s="9" t="s">
        <v>12</v>
      </c>
      <c r="B35" s="14" t="s">
        <v>16</v>
      </c>
      <c r="C35" s="13" t="s">
        <v>15</v>
      </c>
      <c r="D35" s="33" t="s">
        <v>47</v>
      </c>
      <c r="E35" s="14" t="s">
        <v>16</v>
      </c>
      <c r="F35" s="80" t="s">
        <v>16</v>
      </c>
      <c r="G35" s="10"/>
      <c r="H35" s="10"/>
      <c r="K35" s="81" t="s">
        <v>13</v>
      </c>
    </row>
    <row r="36">
      <c r="A36" s="9" t="s">
        <v>18</v>
      </c>
      <c r="B36" s="10"/>
      <c r="C36" s="10"/>
      <c r="D36" s="10"/>
      <c r="E36" s="10"/>
      <c r="F36" s="10"/>
      <c r="G36" s="10"/>
      <c r="H36" s="10"/>
      <c r="K36" s="84" t="s">
        <v>31</v>
      </c>
    </row>
    <row r="37">
      <c r="A37" s="9" t="s">
        <v>22</v>
      </c>
      <c r="B37" s="18" t="s">
        <v>161</v>
      </c>
      <c r="C37" s="18" t="s">
        <v>162</v>
      </c>
      <c r="D37" s="18" t="s">
        <v>123</v>
      </c>
      <c r="E37" s="18" t="s">
        <v>163</v>
      </c>
      <c r="F37" s="18" t="s">
        <v>164</v>
      </c>
      <c r="G37" s="18"/>
      <c r="H37" s="18"/>
      <c r="K37" s="43" t="s">
        <v>62</v>
      </c>
    </row>
    <row r="38">
      <c r="A38" s="9" t="s">
        <v>131</v>
      </c>
      <c r="B38" s="31" t="s">
        <v>45</v>
      </c>
      <c r="C38" s="33" t="s">
        <v>47</v>
      </c>
      <c r="D38" s="13" t="s">
        <v>15</v>
      </c>
      <c r="E38" s="11" t="s">
        <v>13</v>
      </c>
      <c r="F38" s="16" t="s">
        <v>20</v>
      </c>
      <c r="G38" s="10"/>
      <c r="H38" s="10"/>
      <c r="K38" s="86" t="s">
        <v>67</v>
      </c>
    </row>
    <row r="39">
      <c r="A39" s="9" t="s">
        <v>132</v>
      </c>
      <c r="B39" s="53" t="s">
        <v>79</v>
      </c>
      <c r="C39" s="21" t="s">
        <v>31</v>
      </c>
      <c r="D39" s="45" t="s">
        <v>67</v>
      </c>
      <c r="F39" s="10"/>
      <c r="G39" s="10"/>
      <c r="H39" s="10"/>
    </row>
    <row r="40">
      <c r="A40" s="9" t="s">
        <v>140</v>
      </c>
      <c r="B40" s="10"/>
      <c r="C40" s="10"/>
      <c r="D40" s="10"/>
      <c r="E40" s="10"/>
      <c r="F40" s="10"/>
      <c r="G40" s="10"/>
      <c r="H40" s="10"/>
      <c r="I40" s="8"/>
      <c r="K40" s="8" t="s">
        <v>167</v>
      </c>
    </row>
    <row r="41">
      <c r="A41" s="9" t="s">
        <v>141</v>
      </c>
      <c r="B41" s="12" t="s">
        <v>14</v>
      </c>
      <c r="C41" s="11" t="s">
        <v>13</v>
      </c>
      <c r="D41" s="12" t="s">
        <v>14</v>
      </c>
      <c r="E41" s="12" t="s">
        <v>14</v>
      </c>
      <c r="F41" s="12" t="s">
        <v>14</v>
      </c>
      <c r="G41" s="10"/>
      <c r="H41" s="10"/>
      <c r="I41" s="8"/>
      <c r="K41" s="8" t="s">
        <v>160</v>
      </c>
    </row>
    <row r="42">
      <c r="A42" s="4"/>
      <c r="B42" s="5"/>
      <c r="C42" s="5"/>
      <c r="D42" s="5"/>
      <c r="E42" s="5"/>
      <c r="F42" s="5"/>
      <c r="G42" s="5"/>
      <c r="H42" s="5"/>
      <c r="I42" s="61"/>
    </row>
    <row r="43">
      <c r="A43" s="9" t="s">
        <v>12</v>
      </c>
      <c r="B43" s="10"/>
      <c r="C43" s="10"/>
      <c r="D43" s="10"/>
      <c r="E43" s="10"/>
      <c r="F43" s="10"/>
      <c r="G43" s="10"/>
      <c r="H43" s="10"/>
      <c r="I43" s="61"/>
    </row>
    <row r="44">
      <c r="A44" s="9" t="s">
        <v>18</v>
      </c>
      <c r="B44" s="10"/>
      <c r="C44" s="10"/>
      <c r="D44" s="10"/>
      <c r="E44" s="10"/>
      <c r="F44" s="10"/>
      <c r="G44" s="10"/>
      <c r="H44" s="10"/>
      <c r="I44" s="61"/>
    </row>
    <row r="45">
      <c r="A45" s="9" t="s">
        <v>22</v>
      </c>
      <c r="B45" s="18"/>
      <c r="C45" s="18"/>
      <c r="D45" s="18"/>
      <c r="E45" s="18"/>
      <c r="F45" s="18"/>
      <c r="G45" s="18"/>
      <c r="H45" s="18"/>
      <c r="I45" s="61"/>
    </row>
    <row r="46">
      <c r="A46" s="9" t="s">
        <v>131</v>
      </c>
      <c r="B46" s="10"/>
      <c r="C46" s="10"/>
      <c r="D46" s="10"/>
      <c r="E46" s="10"/>
      <c r="F46" s="10"/>
      <c r="G46" s="10"/>
      <c r="H46" s="10"/>
    </row>
    <row r="47">
      <c r="A47" s="9" t="s">
        <v>132</v>
      </c>
      <c r="B47" s="10"/>
      <c r="C47" s="10"/>
      <c r="D47" s="10"/>
      <c r="E47" s="10"/>
      <c r="F47" s="10"/>
      <c r="G47" s="10"/>
      <c r="H47" s="10"/>
    </row>
    <row r="48">
      <c r="A48" s="9" t="s">
        <v>140</v>
      </c>
      <c r="B48" s="10"/>
      <c r="C48" s="10"/>
      <c r="D48" s="10"/>
      <c r="E48" s="10"/>
      <c r="F48" s="10"/>
      <c r="G48" s="10"/>
      <c r="H48" s="10"/>
      <c r="I48" s="6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>
      <c r="A49" s="9" t="s">
        <v>141</v>
      </c>
      <c r="B49" s="10"/>
      <c r="C49" s="10"/>
      <c r="D49" s="10"/>
      <c r="E49" s="10"/>
      <c r="F49" s="10"/>
      <c r="G49" s="10"/>
      <c r="H49" s="10"/>
      <c r="I49" s="65"/>
      <c r="J49" s="65"/>
      <c r="Q49" s="65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I50" s="65"/>
      <c r="J50" s="65"/>
      <c r="Q50" s="65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Q51" s="65"/>
    </row>
    <row r="52">
      <c r="I52" s="67"/>
      <c r="J52" s="68"/>
      <c r="R52" s="69"/>
    </row>
    <row r="53">
      <c r="I53" s="61"/>
      <c r="J53" s="61"/>
      <c r="R53" s="69"/>
    </row>
    <row r="54">
      <c r="I54" s="61"/>
      <c r="J54" s="61"/>
      <c r="R54" s="69"/>
    </row>
    <row r="55">
      <c r="I55" s="61"/>
      <c r="J55" s="61"/>
      <c r="R55" s="69"/>
    </row>
    <row r="56">
      <c r="I56" s="70"/>
      <c r="J56" s="70"/>
      <c r="R56" s="69"/>
    </row>
    <row r="57">
      <c r="I57" s="71"/>
      <c r="J57" s="71"/>
      <c r="R57" s="69"/>
    </row>
    <row r="58">
      <c r="I58" s="72"/>
      <c r="J58" s="72"/>
      <c r="K58" s="71"/>
      <c r="R58" s="69"/>
    </row>
    <row r="59">
      <c r="K59" s="71"/>
      <c r="R59" s="69"/>
    </row>
    <row r="61">
      <c r="Q61" s="73"/>
      <c r="R61" s="73"/>
    </row>
    <row r="62">
      <c r="Q62" s="73"/>
      <c r="R62" s="73"/>
    </row>
    <row r="63">
      <c r="Q63" s="73"/>
      <c r="R63" s="73"/>
    </row>
    <row r="66">
      <c r="I66" s="8" t="s">
        <v>109</v>
      </c>
      <c r="J66" s="8"/>
    </row>
    <row r="72">
      <c r="F72" s="75"/>
    </row>
    <row r="73">
      <c r="F73" s="75"/>
    </row>
    <row r="74">
      <c r="F74" s="75"/>
    </row>
    <row r="75">
      <c r="F75" s="75"/>
    </row>
    <row r="76">
      <c r="F76" s="75"/>
    </row>
    <row r="77">
      <c r="F77" s="75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F83" s="75"/>
    </row>
    <row r="84">
      <c r="E84" s="66"/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  <row r="1011">
      <c r="F1011" s="75"/>
    </row>
    <row r="1012">
      <c r="F1012" s="75"/>
    </row>
    <row r="1013">
      <c r="F1013" s="75"/>
    </row>
    <row r="1014">
      <c r="F1014" s="75"/>
    </row>
    <row r="1015">
      <c r="F1015" s="75"/>
    </row>
    <row r="1016">
      <c r="F1016" s="75"/>
    </row>
    <row r="1017">
      <c r="F1017" s="75"/>
    </row>
    <row r="1018">
      <c r="F1018" s="75"/>
    </row>
  </sheetData>
  <mergeCells count="3">
    <mergeCell ref="L66:Q66"/>
    <mergeCell ref="L67:P67"/>
    <mergeCell ref="L68:P68"/>
  </mergeCells>
  <conditionalFormatting sqref="B2:H2 B10:H10 B18:H18 B26:H26 B34:H34 B42:H42">
    <cfRule type="expression" dxfId="0" priority="1">
      <formula>AND(TRUNC(B2)&gt;=EDATE(TODAY(),-12)+1,TRUNC(B2)&lt;=TODAY())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4.75"/>
    <col customWidth="1" min="4" max="4" width="15.5"/>
    <col customWidth="1" min="5" max="5" width="19.5"/>
    <col customWidth="1" min="6" max="6" width="18.25"/>
    <col customWidth="1" min="7" max="7" width="17.75"/>
    <col customWidth="1" min="8" max="8" width="18.25"/>
    <col customWidth="1" min="10" max="10" width="5.38"/>
    <col customWidth="1" min="11" max="11" width="17.88"/>
    <col customWidth="1" min="12" max="12" width="13.38"/>
    <col customWidth="1" min="13" max="13" width="2.63"/>
    <col customWidth="1" min="14" max="14" width="2.88"/>
    <col customWidth="1" min="15" max="15" width="2.25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</row>
    <row r="2">
      <c r="A2" s="4"/>
      <c r="B2" s="5"/>
      <c r="C2" s="5"/>
      <c r="D2" s="5"/>
      <c r="E2" s="5"/>
      <c r="F2" s="5"/>
      <c r="G2" s="5">
        <v>46235.0</v>
      </c>
      <c r="H2" s="5">
        <v>46236.0</v>
      </c>
      <c r="I2" s="7" t="s">
        <v>10</v>
      </c>
      <c r="K2" s="8" t="s">
        <v>11</v>
      </c>
    </row>
    <row r="3">
      <c r="A3" s="9" t="s">
        <v>12</v>
      </c>
      <c r="B3" s="10"/>
      <c r="C3" s="10"/>
      <c r="D3" s="10"/>
      <c r="E3" s="10"/>
      <c r="F3" s="10"/>
      <c r="G3" s="12" t="s">
        <v>14</v>
      </c>
      <c r="H3" s="12" t="s">
        <v>14</v>
      </c>
      <c r="K3" s="8" t="s">
        <v>17</v>
      </c>
    </row>
    <row r="4">
      <c r="A4" s="9" t="s">
        <v>18</v>
      </c>
      <c r="B4" s="10"/>
      <c r="C4" s="10"/>
      <c r="D4" s="10"/>
      <c r="E4" s="10"/>
      <c r="F4" s="10"/>
      <c r="G4" s="10"/>
      <c r="H4" s="10"/>
      <c r="K4" s="8" t="s">
        <v>21</v>
      </c>
      <c r="S4" s="17"/>
      <c r="T4" s="17"/>
      <c r="U4" s="17"/>
    </row>
    <row r="5">
      <c r="A5" s="9" t="s">
        <v>22</v>
      </c>
      <c r="B5" s="18"/>
      <c r="C5" s="18"/>
      <c r="D5" s="18"/>
      <c r="E5" s="18"/>
      <c r="F5" s="18"/>
      <c r="G5" s="18"/>
      <c r="H5" s="18"/>
      <c r="K5" s="8" t="s">
        <v>25</v>
      </c>
    </row>
    <row r="6">
      <c r="A6" s="9" t="s">
        <v>26</v>
      </c>
      <c r="B6" s="10"/>
      <c r="C6" s="10"/>
      <c r="D6" s="10"/>
      <c r="E6" s="10"/>
      <c r="F6" s="10"/>
      <c r="G6" s="14" t="s">
        <v>16</v>
      </c>
      <c r="H6" s="10"/>
      <c r="J6" s="20"/>
      <c r="K6" s="23"/>
      <c r="L6" s="25" t="s">
        <v>34</v>
      </c>
      <c r="M6" s="25" t="s">
        <v>36</v>
      </c>
      <c r="N6" s="25" t="s">
        <v>37</v>
      </c>
      <c r="O6" s="25" t="s">
        <v>38</v>
      </c>
      <c r="P6" s="27" t="s">
        <v>39</v>
      </c>
      <c r="Q6" s="27" t="s">
        <v>41</v>
      </c>
      <c r="R6" s="28" t="s">
        <v>42</v>
      </c>
    </row>
    <row r="7">
      <c r="A7" s="9" t="s">
        <v>43</v>
      </c>
      <c r="B7" s="10"/>
      <c r="C7" s="10"/>
      <c r="D7" s="10"/>
      <c r="E7" s="10"/>
      <c r="F7" s="10"/>
      <c r="G7" s="10"/>
      <c r="H7" s="10"/>
      <c r="J7" s="32"/>
      <c r="K7" s="12" t="s">
        <v>14</v>
      </c>
      <c r="L7" s="8">
        <f t="shared" ref="L7:L24" si="1">sum(M7:O7)</f>
        <v>27</v>
      </c>
      <c r="M7" s="8">
        <f t="shared" ref="M7:M24" si="2">SUMPRODUCT(($A$3:$A$49=$A$3)*($B$3:$H$49=$K7))+SUMPRODUCT(($A$3:$A$49=$A$4)*($B$3:$H$49=$K7))</f>
        <v>10</v>
      </c>
      <c r="N7" s="8">
        <f t="shared" ref="N7:N24" si="3">SUMPRODUCT(($A$3:$A$49=$A$6)*($B$3:$H$49=$K7))+SUMPRODUCT(($A$3:$A$49=$A$7)*($B$3:$H$49=$K7))+SUMPRODUCT(($A$3:$A$49=$A$8)*($B$3:$H$49=$K7))</f>
        <v>0</v>
      </c>
      <c r="O7" s="8">
        <f t="shared" ref="O7:O22" si="4">SUMPRODUCT(($A$3:$A$49=$A$9)*($B$3:$H$49=$K7))</f>
        <v>17</v>
      </c>
      <c r="P7" s="34">
        <f t="shared" ref="P7:P24" si="5">QUOTIENT(L7,4)</f>
        <v>6</v>
      </c>
      <c r="Q7" s="17"/>
      <c r="R7" s="35">
        <f t="shared" ref="R7:R10" si="6">P7-Q7</f>
        <v>6</v>
      </c>
      <c r="S7" s="36">
        <f>(30-9)*8-2*5</f>
        <v>158</v>
      </c>
      <c r="T7" s="36">
        <f>M7*8+N7*5+O7*7</f>
        <v>199</v>
      </c>
    </row>
    <row r="8">
      <c r="A8" s="9" t="s">
        <v>48</v>
      </c>
      <c r="B8" s="10"/>
      <c r="C8" s="10"/>
      <c r="D8" s="10"/>
      <c r="E8" s="10"/>
      <c r="F8" s="10"/>
      <c r="G8" s="10"/>
      <c r="H8" s="10"/>
      <c r="J8" s="39" t="s">
        <v>36</v>
      </c>
      <c r="K8" s="29" t="s">
        <v>44</v>
      </c>
      <c r="L8" s="8">
        <f t="shared" si="1"/>
        <v>3</v>
      </c>
      <c r="M8" s="8">
        <f t="shared" si="2"/>
        <v>0</v>
      </c>
      <c r="N8" s="8">
        <f t="shared" si="3"/>
        <v>0</v>
      </c>
      <c r="O8" s="8">
        <f t="shared" si="4"/>
        <v>3</v>
      </c>
      <c r="P8" s="34">
        <f t="shared" si="5"/>
        <v>0</v>
      </c>
      <c r="Q8" s="17"/>
      <c r="R8" s="35">
        <f t="shared" si="6"/>
        <v>0</v>
      </c>
    </row>
    <row r="9">
      <c r="A9" s="9" t="s">
        <v>52</v>
      </c>
      <c r="B9" s="10"/>
      <c r="C9" s="10"/>
      <c r="D9" s="10"/>
      <c r="E9" s="10"/>
      <c r="F9" s="10"/>
      <c r="G9" s="29" t="s">
        <v>44</v>
      </c>
      <c r="H9" s="12" t="s">
        <v>14</v>
      </c>
      <c r="I9" s="8"/>
      <c r="J9" s="39" t="s">
        <v>36</v>
      </c>
      <c r="K9" s="33" t="s">
        <v>47</v>
      </c>
      <c r="L9" s="8">
        <f t="shared" si="1"/>
        <v>6</v>
      </c>
      <c r="M9" s="8">
        <f t="shared" si="2"/>
        <v>3</v>
      </c>
      <c r="N9" s="8">
        <f t="shared" si="3"/>
        <v>1</v>
      </c>
      <c r="O9" s="8">
        <f t="shared" si="4"/>
        <v>2</v>
      </c>
      <c r="P9" s="34">
        <f t="shared" si="5"/>
        <v>1</v>
      </c>
      <c r="Q9" s="17"/>
      <c r="R9" s="35">
        <f t="shared" si="6"/>
        <v>1</v>
      </c>
    </row>
    <row r="10">
      <c r="A10" s="4"/>
      <c r="B10" s="5">
        <v>46237.0</v>
      </c>
      <c r="C10" s="5">
        <v>46238.0</v>
      </c>
      <c r="D10" s="5">
        <v>46239.0</v>
      </c>
      <c r="E10" s="5">
        <v>46240.0</v>
      </c>
      <c r="F10" s="5">
        <v>46241.0</v>
      </c>
      <c r="G10" s="5">
        <v>46242.0</v>
      </c>
      <c r="H10" s="5">
        <v>46243.0</v>
      </c>
      <c r="I10" s="8"/>
      <c r="J10" s="39" t="s">
        <v>36</v>
      </c>
      <c r="K10" s="14" t="s">
        <v>16</v>
      </c>
      <c r="L10" s="8">
        <f t="shared" si="1"/>
        <v>18</v>
      </c>
      <c r="M10" s="8">
        <f t="shared" si="2"/>
        <v>7</v>
      </c>
      <c r="N10" s="8">
        <f t="shared" si="3"/>
        <v>11</v>
      </c>
      <c r="O10" s="8">
        <f t="shared" si="4"/>
        <v>0</v>
      </c>
      <c r="P10" s="34">
        <f t="shared" si="5"/>
        <v>4</v>
      </c>
      <c r="Q10" s="17">
        <v>1.0</v>
      </c>
      <c r="R10" s="35">
        <f t="shared" si="6"/>
        <v>3</v>
      </c>
    </row>
    <row r="11">
      <c r="A11" s="9" t="s">
        <v>12</v>
      </c>
      <c r="B11" s="14" t="s">
        <v>16</v>
      </c>
      <c r="C11" s="30" t="s">
        <v>46</v>
      </c>
      <c r="D11" s="13" t="s">
        <v>15</v>
      </c>
      <c r="E11" s="14" t="s">
        <v>16</v>
      </c>
      <c r="F11" s="33" t="s">
        <v>47</v>
      </c>
      <c r="G11" s="14" t="s">
        <v>16</v>
      </c>
      <c r="H11" s="30" t="s">
        <v>46</v>
      </c>
      <c r="I11" s="8"/>
      <c r="J11" s="39" t="s">
        <v>36</v>
      </c>
      <c r="K11" s="30" t="s">
        <v>46</v>
      </c>
      <c r="L11" s="8">
        <f t="shared" si="1"/>
        <v>7</v>
      </c>
      <c r="M11" s="8">
        <f t="shared" si="2"/>
        <v>3</v>
      </c>
      <c r="N11" s="8">
        <f t="shared" si="3"/>
        <v>2</v>
      </c>
      <c r="O11" s="8">
        <f t="shared" si="4"/>
        <v>2</v>
      </c>
      <c r="P11" s="34">
        <f t="shared" si="5"/>
        <v>1</v>
      </c>
    </row>
    <row r="12">
      <c r="A12" s="9" t="s">
        <v>18</v>
      </c>
      <c r="B12" s="10"/>
      <c r="C12" s="10"/>
      <c r="D12" s="77" t="s">
        <v>133</v>
      </c>
      <c r="E12" s="10"/>
      <c r="F12" s="10"/>
      <c r="G12" s="10"/>
      <c r="H12" s="10"/>
      <c r="J12" s="39" t="s">
        <v>36</v>
      </c>
      <c r="K12" s="13" t="s">
        <v>15</v>
      </c>
      <c r="L12" s="8">
        <f t="shared" si="1"/>
        <v>10</v>
      </c>
      <c r="M12" s="8">
        <f t="shared" si="2"/>
        <v>6</v>
      </c>
      <c r="N12" s="8">
        <f t="shared" si="3"/>
        <v>3</v>
      </c>
      <c r="O12" s="8">
        <f t="shared" si="4"/>
        <v>1</v>
      </c>
      <c r="P12" s="34">
        <f t="shared" si="5"/>
        <v>2</v>
      </c>
      <c r="Q12" s="17">
        <v>2.0</v>
      </c>
      <c r="R12" s="35">
        <f t="shared" ref="R12:R24" si="7">P12-Q12</f>
        <v>0</v>
      </c>
      <c r="S12" s="8"/>
    </row>
    <row r="13">
      <c r="A13" s="9" t="s">
        <v>22</v>
      </c>
      <c r="B13" s="18"/>
      <c r="C13" s="18"/>
      <c r="D13" s="18" t="s">
        <v>157</v>
      </c>
      <c r="E13" s="85"/>
      <c r="F13" s="18"/>
      <c r="G13" s="18" t="s">
        <v>158</v>
      </c>
      <c r="H13" s="18"/>
      <c r="J13" s="39" t="s">
        <v>36</v>
      </c>
      <c r="K13" s="26" t="s">
        <v>35</v>
      </c>
      <c r="L13" s="8">
        <f t="shared" si="1"/>
        <v>2</v>
      </c>
      <c r="M13" s="8">
        <f t="shared" si="2"/>
        <v>0</v>
      </c>
      <c r="N13" s="8">
        <f t="shared" si="3"/>
        <v>1</v>
      </c>
      <c r="O13" s="8">
        <f t="shared" si="4"/>
        <v>1</v>
      </c>
      <c r="P13" s="34">
        <f t="shared" si="5"/>
        <v>0</v>
      </c>
      <c r="Q13" s="17"/>
      <c r="R13" s="35">
        <f t="shared" si="7"/>
        <v>0</v>
      </c>
    </row>
    <row r="14">
      <c r="A14" s="9" t="s">
        <v>26</v>
      </c>
      <c r="B14" s="13" t="s">
        <v>15</v>
      </c>
      <c r="C14" s="21" t="s">
        <v>31</v>
      </c>
      <c r="D14" s="16" t="s">
        <v>20</v>
      </c>
      <c r="E14" s="30" t="s">
        <v>46</v>
      </c>
      <c r="F14" s="26" t="s">
        <v>35</v>
      </c>
      <c r="G14" s="21" t="s">
        <v>31</v>
      </c>
      <c r="H14" s="10"/>
      <c r="J14" s="39"/>
      <c r="K14" s="21" t="s">
        <v>31</v>
      </c>
      <c r="L14" s="8">
        <f t="shared" si="1"/>
        <v>15</v>
      </c>
      <c r="M14" s="8">
        <f t="shared" si="2"/>
        <v>1</v>
      </c>
      <c r="N14" s="8">
        <f t="shared" si="3"/>
        <v>12</v>
      </c>
      <c r="O14" s="8">
        <f t="shared" si="4"/>
        <v>2</v>
      </c>
      <c r="P14" s="34">
        <f t="shared" si="5"/>
        <v>3</v>
      </c>
      <c r="Q14" s="17"/>
      <c r="R14" s="35">
        <f t="shared" si="7"/>
        <v>3</v>
      </c>
    </row>
    <row r="15">
      <c r="A15" s="9" t="s">
        <v>43</v>
      </c>
      <c r="C15" s="33" t="s">
        <v>47</v>
      </c>
      <c r="D15" s="10"/>
      <c r="E15" s="10"/>
      <c r="F15" s="13" t="s">
        <v>15</v>
      </c>
      <c r="G15" s="10"/>
      <c r="H15" s="53" t="s">
        <v>79</v>
      </c>
      <c r="J15" s="39"/>
      <c r="K15" s="31" t="s">
        <v>45</v>
      </c>
      <c r="L15" s="8">
        <f t="shared" si="1"/>
        <v>0</v>
      </c>
      <c r="M15" s="8">
        <f t="shared" si="2"/>
        <v>0</v>
      </c>
      <c r="N15" s="8">
        <f t="shared" si="3"/>
        <v>0</v>
      </c>
      <c r="O15" s="8">
        <f t="shared" si="4"/>
        <v>0</v>
      </c>
      <c r="P15" s="34">
        <f t="shared" si="5"/>
        <v>0</v>
      </c>
      <c r="Q15" s="17"/>
      <c r="R15" s="35">
        <f t="shared" si="7"/>
        <v>0</v>
      </c>
    </row>
    <row r="16" ht="20.25" customHeight="1">
      <c r="A16" s="9" t="s">
        <v>48</v>
      </c>
      <c r="B16" s="10"/>
      <c r="C16" s="10"/>
      <c r="D16" s="10"/>
      <c r="E16" s="10"/>
      <c r="F16" s="10"/>
      <c r="G16" s="10"/>
      <c r="H16" s="10"/>
      <c r="J16" s="32"/>
      <c r="K16" s="43" t="s">
        <v>62</v>
      </c>
      <c r="L16" s="8">
        <f t="shared" si="1"/>
        <v>0</v>
      </c>
      <c r="M16" s="8">
        <f t="shared" si="2"/>
        <v>0</v>
      </c>
      <c r="N16" s="8">
        <f t="shared" si="3"/>
        <v>0</v>
      </c>
      <c r="O16" s="8">
        <f t="shared" si="4"/>
        <v>0</v>
      </c>
      <c r="P16" s="34">
        <f t="shared" si="5"/>
        <v>0</v>
      </c>
      <c r="Q16" s="17"/>
      <c r="R16" s="35">
        <f t="shared" si="7"/>
        <v>0</v>
      </c>
    </row>
    <row r="17">
      <c r="A17" s="9" t="s">
        <v>52</v>
      </c>
      <c r="B17" s="12" t="s">
        <v>14</v>
      </c>
      <c r="C17" s="26" t="s">
        <v>35</v>
      </c>
      <c r="D17" s="30" t="s">
        <v>46</v>
      </c>
      <c r="E17" s="45" t="s">
        <v>67</v>
      </c>
      <c r="F17" s="12" t="s">
        <v>14</v>
      </c>
      <c r="G17" s="29" t="s">
        <v>44</v>
      </c>
      <c r="H17" s="12" t="s">
        <v>14</v>
      </c>
      <c r="J17" s="39"/>
      <c r="K17" s="24" t="s">
        <v>33</v>
      </c>
      <c r="L17" s="8">
        <f t="shared" si="1"/>
        <v>0</v>
      </c>
      <c r="M17" s="8">
        <f t="shared" si="2"/>
        <v>0</v>
      </c>
      <c r="N17" s="8">
        <f t="shared" si="3"/>
        <v>0</v>
      </c>
      <c r="O17" s="8">
        <f t="shared" si="4"/>
        <v>0</v>
      </c>
      <c r="P17" s="34">
        <f t="shared" si="5"/>
        <v>0</v>
      </c>
      <c r="Q17" s="17"/>
      <c r="R17" s="35">
        <f t="shared" si="7"/>
        <v>0</v>
      </c>
    </row>
    <row r="18">
      <c r="A18" s="4"/>
      <c r="B18" s="5">
        <v>46244.0</v>
      </c>
      <c r="C18" s="5">
        <v>46245.0</v>
      </c>
      <c r="D18" s="5">
        <v>46246.0</v>
      </c>
      <c r="E18" s="5">
        <v>46247.0</v>
      </c>
      <c r="F18" s="5">
        <v>46248.0</v>
      </c>
      <c r="G18" s="5">
        <v>46249.0</v>
      </c>
      <c r="H18" s="5">
        <v>46250.0</v>
      </c>
      <c r="J18" s="32"/>
      <c r="K18" s="45" t="s">
        <v>67</v>
      </c>
      <c r="L18" s="8">
        <f t="shared" si="1"/>
        <v>3</v>
      </c>
      <c r="M18" s="8">
        <f t="shared" si="2"/>
        <v>0</v>
      </c>
      <c r="N18" s="8">
        <f t="shared" si="3"/>
        <v>1</v>
      </c>
      <c r="O18" s="8">
        <f t="shared" si="4"/>
        <v>2</v>
      </c>
      <c r="P18" s="34">
        <f t="shared" si="5"/>
        <v>0</v>
      </c>
      <c r="Q18" s="17"/>
      <c r="R18" s="35">
        <f t="shared" si="7"/>
        <v>0</v>
      </c>
      <c r="S18" s="78"/>
    </row>
    <row r="19">
      <c r="A19" s="9" t="s">
        <v>12</v>
      </c>
      <c r="B19" s="14" t="s">
        <v>16</v>
      </c>
      <c r="C19" s="33" t="s">
        <v>47</v>
      </c>
      <c r="D19" s="13" t="s">
        <v>15</v>
      </c>
      <c r="E19" s="13" t="s">
        <v>15</v>
      </c>
      <c r="F19" s="12" t="s">
        <v>14</v>
      </c>
      <c r="G19" s="12" t="s">
        <v>14</v>
      </c>
      <c r="H19" s="12" t="s">
        <v>14</v>
      </c>
      <c r="J19" s="32"/>
      <c r="K19" s="53" t="s">
        <v>79</v>
      </c>
      <c r="L19" s="8">
        <f t="shared" si="1"/>
        <v>4</v>
      </c>
      <c r="M19" s="8">
        <f t="shared" si="2"/>
        <v>0</v>
      </c>
      <c r="N19" s="8">
        <f t="shared" si="3"/>
        <v>4</v>
      </c>
      <c r="O19" s="8">
        <f t="shared" si="4"/>
        <v>0</v>
      </c>
      <c r="P19" s="34">
        <f t="shared" si="5"/>
        <v>1</v>
      </c>
      <c r="Q19" s="17">
        <v>1.0</v>
      </c>
      <c r="R19" s="35">
        <f t="shared" si="7"/>
        <v>0</v>
      </c>
    </row>
    <row r="20">
      <c r="A20" s="9" t="s">
        <v>18</v>
      </c>
      <c r="B20" s="10"/>
      <c r="C20" s="10"/>
      <c r="D20" s="10"/>
      <c r="E20" s="10"/>
      <c r="F20" s="10"/>
      <c r="G20" s="10"/>
      <c r="H20" s="10"/>
      <c r="J20" s="39"/>
      <c r="K20" s="16" t="s">
        <v>20</v>
      </c>
      <c r="L20" s="8">
        <f t="shared" si="1"/>
        <v>4</v>
      </c>
      <c r="M20" s="8">
        <f t="shared" si="2"/>
        <v>0</v>
      </c>
      <c r="N20" s="8">
        <f t="shared" si="3"/>
        <v>4</v>
      </c>
      <c r="O20" s="8">
        <f t="shared" si="4"/>
        <v>0</v>
      </c>
      <c r="P20" s="34">
        <f t="shared" si="5"/>
        <v>1</v>
      </c>
      <c r="Q20" s="17"/>
      <c r="R20" s="35">
        <f t="shared" si="7"/>
        <v>1</v>
      </c>
      <c r="S20" s="8"/>
    </row>
    <row r="21">
      <c r="A21" s="9" t="s">
        <v>22</v>
      </c>
      <c r="B21" s="85" t="s">
        <v>165</v>
      </c>
      <c r="C21" s="18"/>
      <c r="D21" s="18"/>
      <c r="E21" s="18"/>
      <c r="F21" s="18"/>
      <c r="G21" s="18"/>
      <c r="H21" s="18" t="s">
        <v>166</v>
      </c>
      <c r="J21" s="32"/>
      <c r="K21" s="76" t="s">
        <v>122</v>
      </c>
      <c r="L21" s="8">
        <f t="shared" si="1"/>
        <v>0</v>
      </c>
      <c r="M21" s="8">
        <f t="shared" si="2"/>
        <v>0</v>
      </c>
      <c r="N21" s="8">
        <f t="shared" si="3"/>
        <v>0</v>
      </c>
      <c r="O21" s="8">
        <f t="shared" si="4"/>
        <v>0</v>
      </c>
      <c r="P21" s="34">
        <f t="shared" si="5"/>
        <v>0</v>
      </c>
      <c r="Q21" s="17"/>
      <c r="R21" s="35">
        <f t="shared" si="7"/>
        <v>0</v>
      </c>
    </row>
    <row r="22">
      <c r="A22" s="9" t="s">
        <v>26</v>
      </c>
      <c r="B22" s="10"/>
      <c r="C22" s="21" t="s">
        <v>31</v>
      </c>
      <c r="D22" s="53" t="s">
        <v>79</v>
      </c>
      <c r="E22" s="16" t="s">
        <v>20</v>
      </c>
      <c r="F22" s="10"/>
      <c r="G22" s="10"/>
      <c r="H22" s="53" t="s">
        <v>79</v>
      </c>
      <c r="I22" s="8" t="s">
        <v>0</v>
      </c>
      <c r="J22" s="32"/>
      <c r="K22" s="77" t="s">
        <v>133</v>
      </c>
      <c r="L22" s="8">
        <f t="shared" si="1"/>
        <v>3</v>
      </c>
      <c r="M22" s="8">
        <f t="shared" si="2"/>
        <v>2</v>
      </c>
      <c r="N22" s="8">
        <f t="shared" si="3"/>
        <v>1</v>
      </c>
      <c r="O22" s="8">
        <f t="shared" si="4"/>
        <v>0</v>
      </c>
      <c r="P22" s="34">
        <f t="shared" si="5"/>
        <v>0</v>
      </c>
      <c r="Q22" s="17"/>
      <c r="R22" s="35">
        <f t="shared" si="7"/>
        <v>0</v>
      </c>
    </row>
    <row r="23">
      <c r="A23" s="9" t="s">
        <v>43</v>
      </c>
      <c r="B23" s="21" t="s">
        <v>31</v>
      </c>
      <c r="C23" s="14" t="s">
        <v>16</v>
      </c>
      <c r="D23" s="14" t="s">
        <v>16</v>
      </c>
      <c r="E23" s="21" t="s">
        <v>31</v>
      </c>
      <c r="F23" s="10"/>
      <c r="G23" s="10"/>
      <c r="H23" s="10"/>
      <c r="I23" s="8" t="s">
        <v>0</v>
      </c>
      <c r="J23" s="39"/>
      <c r="K23" s="87" t="s">
        <v>168</v>
      </c>
      <c r="L23" s="8">
        <f t="shared" si="1"/>
        <v>12</v>
      </c>
      <c r="M23" s="8">
        <f t="shared" si="2"/>
        <v>2</v>
      </c>
      <c r="N23" s="8">
        <f t="shared" si="3"/>
        <v>6</v>
      </c>
      <c r="O23" s="8">
        <v>4.0</v>
      </c>
      <c r="P23" s="34">
        <f t="shared" si="5"/>
        <v>3</v>
      </c>
      <c r="Q23" s="17"/>
      <c r="R23" s="35">
        <f t="shared" si="7"/>
        <v>3</v>
      </c>
    </row>
    <row r="24">
      <c r="A24" s="9" t="s">
        <v>48</v>
      </c>
      <c r="B24" s="10"/>
      <c r="C24" s="87" t="s">
        <v>168</v>
      </c>
      <c r="D24" s="87" t="s">
        <v>168</v>
      </c>
      <c r="E24" s="10"/>
      <c r="F24" s="10"/>
      <c r="G24" s="10"/>
      <c r="H24" s="10"/>
      <c r="I24" s="8" t="s">
        <v>0</v>
      </c>
      <c r="J24" s="32"/>
      <c r="K24" s="88" t="s">
        <v>169</v>
      </c>
      <c r="L24" s="8">
        <f t="shared" si="1"/>
        <v>2</v>
      </c>
      <c r="M24" s="8">
        <f t="shared" si="2"/>
        <v>0</v>
      </c>
      <c r="N24" s="8">
        <f t="shared" si="3"/>
        <v>2</v>
      </c>
      <c r="O24" s="8">
        <f>SUMPRODUCT(($A$3:$A$49=$A$9)*($B$3:$H$49=$K24))</f>
        <v>0</v>
      </c>
      <c r="P24" s="34">
        <f t="shared" si="5"/>
        <v>0</v>
      </c>
      <c r="R24" s="35">
        <f t="shared" si="7"/>
        <v>0</v>
      </c>
    </row>
    <row r="25">
      <c r="A25" s="9" t="s">
        <v>52</v>
      </c>
      <c r="B25" s="13" t="s">
        <v>15</v>
      </c>
      <c r="C25" s="12" t="s">
        <v>14</v>
      </c>
      <c r="D25" s="33" t="s">
        <v>47</v>
      </c>
      <c r="E25" s="12" t="s">
        <v>14</v>
      </c>
      <c r="F25" s="12" t="s">
        <v>14</v>
      </c>
      <c r="G25" s="12" t="s">
        <v>14</v>
      </c>
      <c r="H25" s="12" t="s">
        <v>14</v>
      </c>
      <c r="J25" s="32"/>
      <c r="R25" s="35"/>
    </row>
    <row r="26">
      <c r="A26" s="4"/>
      <c r="B26" s="5">
        <v>46251.0</v>
      </c>
      <c r="C26" s="5">
        <v>46252.0</v>
      </c>
      <c r="D26" s="5">
        <v>46253.0</v>
      </c>
      <c r="E26" s="5">
        <v>46254.0</v>
      </c>
      <c r="F26" s="5">
        <v>46255.0</v>
      </c>
      <c r="G26" s="5">
        <v>46256.0</v>
      </c>
      <c r="H26" s="5">
        <v>46257.0</v>
      </c>
      <c r="I26" s="55"/>
      <c r="J26" s="32"/>
      <c r="R26" s="35"/>
      <c r="T26" s="56"/>
      <c r="U26" s="56"/>
    </row>
    <row r="27">
      <c r="A27" s="9" t="s">
        <v>12</v>
      </c>
      <c r="B27" s="12" t="s">
        <v>14</v>
      </c>
      <c r="C27" s="12" t="s">
        <v>14</v>
      </c>
      <c r="D27" s="12" t="s">
        <v>14</v>
      </c>
      <c r="E27" s="14" t="s">
        <v>16</v>
      </c>
      <c r="F27" s="14" t="s">
        <v>16</v>
      </c>
      <c r="G27" s="21" t="s">
        <v>31</v>
      </c>
      <c r="H27" s="30" t="s">
        <v>46</v>
      </c>
      <c r="J27" s="32"/>
      <c r="R27" s="35"/>
      <c r="AA27" s="57"/>
    </row>
    <row r="28">
      <c r="A28" s="9" t="s">
        <v>18</v>
      </c>
      <c r="B28" s="10"/>
      <c r="C28" s="87" t="s">
        <v>168</v>
      </c>
      <c r="D28" s="87" t="s">
        <v>168</v>
      </c>
      <c r="E28" s="10"/>
      <c r="F28" s="10"/>
      <c r="G28" s="10"/>
      <c r="H28" s="10"/>
      <c r="J28" s="58"/>
      <c r="K28" s="59"/>
      <c r="L28" s="59"/>
      <c r="M28" s="59"/>
      <c r="N28" s="59"/>
      <c r="O28" s="59"/>
      <c r="P28" s="59"/>
      <c r="Q28" s="59"/>
      <c r="R28" s="60"/>
    </row>
    <row r="29">
      <c r="A29" s="9" t="s">
        <v>22</v>
      </c>
      <c r="B29" s="18"/>
      <c r="C29" s="18"/>
      <c r="D29" s="18"/>
      <c r="E29" s="85" t="s">
        <v>170</v>
      </c>
      <c r="F29" s="18"/>
      <c r="G29" s="18"/>
      <c r="H29" s="18"/>
      <c r="I29" s="55"/>
    </row>
    <row r="30">
      <c r="A30" s="9" t="s">
        <v>26</v>
      </c>
      <c r="B30" s="13" t="s">
        <v>15</v>
      </c>
      <c r="C30" s="21" t="s">
        <v>31</v>
      </c>
      <c r="D30" s="14" t="s">
        <v>16</v>
      </c>
      <c r="E30" s="77" t="s">
        <v>133</v>
      </c>
      <c r="F30" s="53" t="s">
        <v>79</v>
      </c>
      <c r="G30" s="14" t="s">
        <v>16</v>
      </c>
      <c r="H30" s="89" t="s">
        <v>168</v>
      </c>
      <c r="I30" s="55"/>
      <c r="K30" s="8" t="s">
        <v>92</v>
      </c>
    </row>
    <row r="31">
      <c r="A31" s="9" t="s">
        <v>43</v>
      </c>
      <c r="B31" s="87" t="s">
        <v>168</v>
      </c>
      <c r="C31" s="14" t="s">
        <v>16</v>
      </c>
      <c r="D31" s="21" t="s">
        <v>31</v>
      </c>
      <c r="E31" s="87" t="s">
        <v>168</v>
      </c>
      <c r="F31" s="21" t="s">
        <v>31</v>
      </c>
      <c r="H31" s="10"/>
      <c r="I31" s="55"/>
      <c r="K31" s="79" t="s">
        <v>47</v>
      </c>
    </row>
    <row r="32">
      <c r="A32" s="9" t="s">
        <v>171</v>
      </c>
      <c r="B32" s="10"/>
      <c r="C32" s="10"/>
      <c r="D32" s="10"/>
      <c r="E32" s="10"/>
      <c r="F32" s="10"/>
      <c r="G32" s="89" t="s">
        <v>168</v>
      </c>
      <c r="H32" s="10"/>
      <c r="I32" s="55"/>
      <c r="K32" s="80" t="s">
        <v>16</v>
      </c>
    </row>
    <row r="33">
      <c r="A33" s="9" t="s">
        <v>52</v>
      </c>
      <c r="B33" s="45" t="s">
        <v>67</v>
      </c>
      <c r="C33" s="12" t="s">
        <v>14</v>
      </c>
      <c r="D33" s="12" t="s">
        <v>14</v>
      </c>
      <c r="E33" s="21" t="s">
        <v>31</v>
      </c>
      <c r="F33" s="12" t="s">
        <v>14</v>
      </c>
      <c r="G33" s="12" t="s">
        <v>14</v>
      </c>
      <c r="H33" s="12" t="s">
        <v>14</v>
      </c>
      <c r="K33" s="82" t="s">
        <v>46</v>
      </c>
    </row>
    <row r="34">
      <c r="A34" s="4"/>
      <c r="B34" s="5">
        <v>46258.0</v>
      </c>
      <c r="C34" s="5">
        <v>46259.0</v>
      </c>
      <c r="D34" s="5">
        <v>46260.0</v>
      </c>
      <c r="E34" s="5">
        <v>46261.0</v>
      </c>
      <c r="F34" s="5">
        <v>46262.0</v>
      </c>
      <c r="G34" s="5">
        <v>46263.0</v>
      </c>
      <c r="H34" s="5">
        <v>46264.0</v>
      </c>
      <c r="I34" s="61"/>
      <c r="K34" s="83" t="s">
        <v>15</v>
      </c>
    </row>
    <row r="35">
      <c r="A35" s="9" t="s">
        <v>12</v>
      </c>
      <c r="B35" s="80" t="s">
        <v>16</v>
      </c>
      <c r="C35" s="79" t="s">
        <v>47</v>
      </c>
      <c r="D35" s="83" t="s">
        <v>15</v>
      </c>
      <c r="E35" s="77" t="s">
        <v>133</v>
      </c>
      <c r="F35" s="83" t="s">
        <v>15</v>
      </c>
      <c r="G35" s="12" t="s">
        <v>14</v>
      </c>
      <c r="H35" s="12" t="s">
        <v>14</v>
      </c>
      <c r="K35" s="81" t="s">
        <v>13</v>
      </c>
    </row>
    <row r="36">
      <c r="A36" s="9" t="s">
        <v>18</v>
      </c>
      <c r="B36" s="10"/>
      <c r="C36" s="10"/>
      <c r="D36" s="10"/>
      <c r="E36" s="10"/>
      <c r="F36" s="10"/>
      <c r="G36" s="10"/>
      <c r="H36" s="10"/>
      <c r="K36" s="84" t="s">
        <v>31</v>
      </c>
    </row>
    <row r="37">
      <c r="A37" s="9" t="s">
        <v>22</v>
      </c>
      <c r="B37" s="85"/>
      <c r="C37" s="18"/>
      <c r="D37" s="18" t="s">
        <v>123</v>
      </c>
      <c r="E37" s="18"/>
      <c r="F37" s="18" t="s">
        <v>172</v>
      </c>
      <c r="G37" s="18"/>
      <c r="H37" s="18" t="s">
        <v>173</v>
      </c>
      <c r="K37" s="43" t="s">
        <v>62</v>
      </c>
    </row>
    <row r="38">
      <c r="A38" s="9" t="s">
        <v>26</v>
      </c>
      <c r="B38" s="30" t="s">
        <v>46</v>
      </c>
      <c r="C38" s="21" t="s">
        <v>31</v>
      </c>
      <c r="D38" s="16" t="s">
        <v>20</v>
      </c>
      <c r="E38" s="80" t="s">
        <v>16</v>
      </c>
      <c r="F38" s="80" t="s">
        <v>16</v>
      </c>
      <c r="G38" s="21" t="s">
        <v>31</v>
      </c>
      <c r="H38" s="80" t="s">
        <v>16</v>
      </c>
      <c r="K38" s="86" t="s">
        <v>67</v>
      </c>
    </row>
    <row r="39">
      <c r="A39" s="9" t="s">
        <v>43</v>
      </c>
      <c r="B39" s="21" t="s">
        <v>31</v>
      </c>
      <c r="C39" s="86" t="s">
        <v>67</v>
      </c>
      <c r="D39" s="80" t="s">
        <v>16</v>
      </c>
      <c r="E39" s="21" t="s">
        <v>31</v>
      </c>
      <c r="F39" s="88" t="s">
        <v>169</v>
      </c>
      <c r="G39" s="88" t="s">
        <v>169</v>
      </c>
      <c r="H39" s="89" t="s">
        <v>168</v>
      </c>
    </row>
    <row r="40">
      <c r="A40" s="9" t="s">
        <v>171</v>
      </c>
      <c r="B40" s="89" t="s">
        <v>168</v>
      </c>
      <c r="C40" s="10"/>
      <c r="D40" s="10"/>
      <c r="E40" s="89" t="s">
        <v>168</v>
      </c>
      <c r="F40" s="10"/>
      <c r="G40" s="10"/>
      <c r="H40" s="10"/>
      <c r="I40" s="8"/>
      <c r="K40" s="8" t="s">
        <v>174</v>
      </c>
    </row>
    <row r="41">
      <c r="A41" s="9" t="s">
        <v>52</v>
      </c>
      <c r="B41" s="12" t="s">
        <v>14</v>
      </c>
      <c r="C41" s="82" t="s">
        <v>46</v>
      </c>
      <c r="D41" s="79" t="s">
        <v>47</v>
      </c>
      <c r="E41" s="12" t="s">
        <v>14</v>
      </c>
      <c r="F41" s="21" t="s">
        <v>31</v>
      </c>
      <c r="G41" s="29" t="s">
        <v>44</v>
      </c>
      <c r="H41" s="89" t="s">
        <v>168</v>
      </c>
      <c r="I41" s="8"/>
      <c r="K41" s="8" t="s">
        <v>160</v>
      </c>
    </row>
    <row r="42">
      <c r="A42" s="4"/>
      <c r="B42" s="5">
        <v>46265.0</v>
      </c>
      <c r="C42" s="5"/>
      <c r="D42" s="5"/>
      <c r="E42" s="5"/>
      <c r="F42" s="5"/>
      <c r="G42" s="5"/>
      <c r="H42" s="5"/>
      <c r="I42" s="61"/>
    </row>
    <row r="43">
      <c r="A43" s="9" t="s">
        <v>12</v>
      </c>
      <c r="B43" s="83" t="s">
        <v>15</v>
      </c>
      <c r="C43" s="10"/>
      <c r="D43" s="10"/>
      <c r="E43" s="10"/>
      <c r="F43" s="10"/>
      <c r="G43" s="10"/>
      <c r="H43" s="10"/>
      <c r="I43" s="61"/>
    </row>
    <row r="44">
      <c r="A44" s="9" t="s">
        <v>18</v>
      </c>
      <c r="B44" s="10"/>
      <c r="C44" s="10"/>
      <c r="D44" s="10"/>
      <c r="E44" s="10"/>
      <c r="F44" s="10"/>
      <c r="G44" s="10"/>
      <c r="H44" s="10"/>
      <c r="I44" s="61"/>
    </row>
    <row r="45">
      <c r="A45" s="9" t="s">
        <v>22</v>
      </c>
      <c r="B45" s="18"/>
      <c r="C45" s="18"/>
      <c r="D45" s="18"/>
      <c r="E45" s="18"/>
      <c r="F45" s="18"/>
      <c r="G45" s="18"/>
      <c r="H45" s="18"/>
      <c r="I45" s="61"/>
    </row>
    <row r="46">
      <c r="A46" s="9" t="s">
        <v>26</v>
      </c>
      <c r="B46" s="80" t="s">
        <v>16</v>
      </c>
      <c r="C46" s="10"/>
      <c r="D46" s="10"/>
      <c r="E46" s="10"/>
      <c r="F46" s="10"/>
      <c r="G46" s="10"/>
      <c r="H46" s="10"/>
    </row>
    <row r="47">
      <c r="A47" s="9" t="s">
        <v>43</v>
      </c>
      <c r="B47" s="16" t="s">
        <v>20</v>
      </c>
      <c r="C47" s="10"/>
      <c r="D47" s="10"/>
      <c r="E47" s="10"/>
      <c r="F47" s="10"/>
      <c r="G47" s="10"/>
      <c r="H47" s="10"/>
    </row>
    <row r="48">
      <c r="A48" s="9" t="s">
        <v>48</v>
      </c>
      <c r="B48" s="10"/>
      <c r="C48" s="10"/>
      <c r="D48" s="10"/>
      <c r="E48" s="10"/>
      <c r="F48" s="10"/>
      <c r="G48" s="10"/>
      <c r="H48" s="10"/>
      <c r="I48" s="65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>
      <c r="A49" s="9" t="s">
        <v>52</v>
      </c>
      <c r="B49" s="12" t="s">
        <v>14</v>
      </c>
      <c r="C49" s="10"/>
      <c r="D49" s="10"/>
      <c r="E49" s="10"/>
      <c r="F49" s="10"/>
      <c r="G49" s="10"/>
      <c r="H49" s="10"/>
      <c r="I49" s="65"/>
      <c r="J49" s="65"/>
      <c r="Q49" s="65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I50" s="65"/>
      <c r="J50" s="65"/>
      <c r="Q50" s="65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Q51" s="65"/>
    </row>
    <row r="52">
      <c r="I52" s="67"/>
      <c r="J52" s="68"/>
      <c r="R52" s="69"/>
    </row>
    <row r="53">
      <c r="I53" s="61"/>
      <c r="J53" s="61"/>
      <c r="R53" s="69"/>
    </row>
    <row r="54">
      <c r="I54" s="61"/>
      <c r="J54" s="61"/>
      <c r="R54" s="69"/>
    </row>
    <row r="55">
      <c r="I55" s="61"/>
      <c r="J55" s="61"/>
      <c r="R55" s="69"/>
    </row>
    <row r="56">
      <c r="I56" s="70"/>
      <c r="J56" s="70"/>
      <c r="R56" s="69"/>
    </row>
    <row r="57">
      <c r="I57" s="71"/>
      <c r="J57" s="71"/>
      <c r="R57" s="69"/>
    </row>
    <row r="58">
      <c r="I58" s="72"/>
      <c r="J58" s="72"/>
      <c r="K58" s="71"/>
      <c r="R58" s="69"/>
    </row>
    <row r="59">
      <c r="K59" s="71"/>
      <c r="R59" s="69"/>
    </row>
    <row r="61">
      <c r="Q61" s="73"/>
      <c r="R61" s="73"/>
    </row>
    <row r="62">
      <c r="Q62" s="73"/>
      <c r="R62" s="73"/>
    </row>
    <row r="63">
      <c r="Q63" s="73"/>
      <c r="R63" s="73"/>
    </row>
    <row r="66">
      <c r="I66" s="8" t="s">
        <v>109</v>
      </c>
      <c r="J66" s="8"/>
    </row>
    <row r="72">
      <c r="F72" s="75"/>
    </row>
    <row r="73">
      <c r="F73" s="75"/>
    </row>
    <row r="74">
      <c r="F74" s="75"/>
    </row>
    <row r="75">
      <c r="F75" s="75"/>
    </row>
    <row r="76">
      <c r="F76" s="75"/>
    </row>
    <row r="77">
      <c r="F77" s="75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F83" s="75"/>
    </row>
    <row r="84">
      <c r="E84" s="66"/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  <row r="1011">
      <c r="F1011" s="75"/>
    </row>
    <row r="1012">
      <c r="F1012" s="75"/>
    </row>
    <row r="1013">
      <c r="F1013" s="75"/>
    </row>
    <row r="1014">
      <c r="F1014" s="75"/>
    </row>
    <row r="1015">
      <c r="F1015" s="75"/>
    </row>
    <row r="1016">
      <c r="F1016" s="75"/>
    </row>
    <row r="1017">
      <c r="F1017" s="75"/>
    </row>
    <row r="1018">
      <c r="F1018" s="75"/>
    </row>
  </sheetData>
  <mergeCells count="3">
    <mergeCell ref="L66:Q66"/>
    <mergeCell ref="L67:P67"/>
    <mergeCell ref="L68:P68"/>
  </mergeCells>
  <conditionalFormatting sqref="B2:H2 B10:H10 B18:H18 B26:H26 B34:H34 B42:H42">
    <cfRule type="expression" dxfId="0" priority="1">
      <formula>AND(TRUNC(B2)&gt;=EDATE(TODAY(),-12)+1,TRUNC(B2)&lt;=TODAY())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4.75"/>
    <col customWidth="1" min="4" max="4" width="15.5"/>
    <col customWidth="1" min="5" max="5" width="19.5"/>
    <col customWidth="1" min="6" max="6" width="18.25"/>
    <col customWidth="1" min="7" max="7" width="17.75"/>
    <col customWidth="1" min="8" max="8" width="18.25"/>
    <col customWidth="1" min="10" max="11" width="5.38"/>
    <col customWidth="1" min="12" max="12" width="17.88"/>
    <col customWidth="1" min="13" max="13" width="13.38"/>
    <col customWidth="1" min="14" max="14" width="2.63"/>
    <col customWidth="1" min="15" max="15" width="2.88"/>
    <col customWidth="1" min="16" max="16" width="2.25"/>
    <col customWidth="1" min="17" max="17" width="25.88"/>
    <col customWidth="1" min="18" max="18" width="9.13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</row>
    <row r="2">
      <c r="A2" s="4"/>
      <c r="B2" s="5"/>
      <c r="C2" s="5">
        <v>46266.0</v>
      </c>
      <c r="D2" s="5">
        <v>46267.0</v>
      </c>
      <c r="E2" s="5">
        <v>46268.0</v>
      </c>
      <c r="F2" s="5">
        <v>46269.0</v>
      </c>
      <c r="G2" s="5">
        <v>46270.0</v>
      </c>
      <c r="H2" s="5">
        <v>46271.0</v>
      </c>
      <c r="I2" s="7" t="s">
        <v>10</v>
      </c>
      <c r="L2" s="8" t="s">
        <v>11</v>
      </c>
    </row>
    <row r="3">
      <c r="A3" s="18" t="s">
        <v>12</v>
      </c>
      <c r="B3" s="90"/>
      <c r="C3" s="12" t="s">
        <v>14</v>
      </c>
      <c r="D3" s="13" t="s">
        <v>15</v>
      </c>
      <c r="E3" s="12" t="s">
        <v>14</v>
      </c>
      <c r="F3" s="21" t="s">
        <v>31</v>
      </c>
      <c r="G3" s="14" t="s">
        <v>16</v>
      </c>
      <c r="H3" s="88" t="s">
        <v>169</v>
      </c>
      <c r="L3" s="8" t="s">
        <v>17</v>
      </c>
    </row>
    <row r="4">
      <c r="A4" s="10" t="s">
        <v>18</v>
      </c>
      <c r="B4" s="90"/>
      <c r="C4" s="90"/>
      <c r="D4" s="90"/>
      <c r="E4" s="90"/>
      <c r="F4" s="90"/>
      <c r="G4" s="90"/>
      <c r="H4" s="90"/>
      <c r="L4" s="8" t="s">
        <v>21</v>
      </c>
      <c r="U4" s="17"/>
      <c r="V4" s="17"/>
      <c r="W4" s="17"/>
    </row>
    <row r="5">
      <c r="A5" s="9" t="s">
        <v>22</v>
      </c>
      <c r="B5" s="18"/>
      <c r="C5" s="18"/>
      <c r="D5" s="18" t="s">
        <v>175</v>
      </c>
      <c r="E5" s="18" t="s">
        <v>176</v>
      </c>
      <c r="F5" s="18" t="s">
        <v>177</v>
      </c>
      <c r="G5" s="18" t="s">
        <v>178</v>
      </c>
      <c r="H5" s="18" t="s">
        <v>179</v>
      </c>
      <c r="L5" s="8" t="s">
        <v>25</v>
      </c>
    </row>
    <row r="6">
      <c r="A6" s="18" t="s">
        <v>180</v>
      </c>
      <c r="B6" s="18"/>
      <c r="C6" s="91"/>
      <c r="D6" s="91"/>
      <c r="E6" s="91"/>
      <c r="F6" s="92"/>
      <c r="G6" s="91"/>
      <c r="H6" s="91"/>
      <c r="L6" s="8"/>
    </row>
    <row r="7">
      <c r="A7" s="93" t="s">
        <v>181</v>
      </c>
      <c r="B7" s="94"/>
      <c r="C7" s="87" t="s">
        <v>168</v>
      </c>
      <c r="D7" s="21" t="s">
        <v>31</v>
      </c>
      <c r="E7" s="21" t="s">
        <v>31</v>
      </c>
      <c r="F7" s="13" t="s">
        <v>15</v>
      </c>
      <c r="G7" s="87" t="s">
        <v>168</v>
      </c>
      <c r="H7" s="14" t="s">
        <v>16</v>
      </c>
      <c r="K7" s="20"/>
      <c r="L7" s="23"/>
      <c r="M7" s="25" t="s">
        <v>34</v>
      </c>
      <c r="N7" s="25" t="s">
        <v>36</v>
      </c>
      <c r="O7" s="25" t="s">
        <v>37</v>
      </c>
      <c r="P7" s="25" t="s">
        <v>38</v>
      </c>
      <c r="Q7" s="27" t="s">
        <v>182</v>
      </c>
      <c r="R7" s="27" t="s">
        <v>183</v>
      </c>
      <c r="S7" s="27" t="s">
        <v>184</v>
      </c>
      <c r="T7" s="28" t="s">
        <v>185</v>
      </c>
    </row>
    <row r="8">
      <c r="A8" s="93" t="s">
        <v>43</v>
      </c>
      <c r="B8" s="94"/>
      <c r="C8" s="13" t="s">
        <v>15</v>
      </c>
      <c r="D8" s="16" t="s">
        <v>20</v>
      </c>
      <c r="E8" s="87" t="s">
        <v>168</v>
      </c>
      <c r="F8" s="88" t="s">
        <v>169</v>
      </c>
      <c r="G8" s="88" t="s">
        <v>169</v>
      </c>
      <c r="H8" s="94"/>
      <c r="K8" s="32"/>
      <c r="L8" s="12" t="s">
        <v>14</v>
      </c>
      <c r="M8" s="8">
        <f t="shared" ref="M8:M25" si="1">sum(N8:P8)</f>
        <v>17</v>
      </c>
      <c r="N8" s="8">
        <f>SUM(COUNTIFS(B3:H4,$L8)+COUNTIFS(B12:H13,$L8)+COUNTIFS(B21:H22,$L8)+COUNTIFS(B30:H31,$L8))</f>
        <v>14</v>
      </c>
      <c r="O8" s="8">
        <f>SUM(COUNTIFS(C7:H8,L8)+COUNTIFS(B16:H18,L8)+COUNTIFS(B25:H27,L8)+COUNTIFS(B43:H45,L8))</f>
        <v>0</v>
      </c>
      <c r="P8" s="8">
        <f t="shared" ref="P8:P25" si="2">SUMPRODUCT(($A$3:$A$55=$A$10)*($B$3:$H$55=$L8))</f>
        <v>3</v>
      </c>
      <c r="Q8" s="34"/>
      <c r="R8" s="34" t="s">
        <v>186</v>
      </c>
      <c r="S8" s="17"/>
      <c r="T8" s="95" t="s">
        <v>186</v>
      </c>
      <c r="U8" s="36">
        <f>(30-9)*8-2*5</f>
        <v>158</v>
      </c>
      <c r="V8" s="36">
        <f>N8*8+O8*5+P8*7</f>
        <v>133</v>
      </c>
    </row>
    <row r="9">
      <c r="A9" s="93" t="s">
        <v>48</v>
      </c>
      <c r="B9" s="94"/>
      <c r="C9" s="94"/>
      <c r="D9" s="94"/>
      <c r="E9" s="94"/>
      <c r="F9" s="94"/>
      <c r="G9" s="94"/>
      <c r="H9" s="94"/>
      <c r="K9" s="39" t="s">
        <v>187</v>
      </c>
      <c r="L9" s="29" t="s">
        <v>44</v>
      </c>
      <c r="M9" s="8">
        <f t="shared" si="1"/>
        <v>0</v>
      </c>
      <c r="N9" s="8">
        <f t="shared" ref="N9:N25" si="3">SUMPRODUCT(($A$3:$A$55=$A$3)*($B$3:$H$55=$L9))+SUMPRODUCT(($A$3:$A$55=$A$4)*($B$3:$H$55=$L9))</f>
        <v>0</v>
      </c>
      <c r="O9" s="8">
        <f t="shared" ref="O9:O21" si="4">SUMPRODUCT(($A$3:$A$55=$A$7)*($B$3:$H$55=$L9))+SUMPRODUCT(($A$3:$A$55=$A$8)*($B$3:$H$55=$L9))+SUMPRODUCT(($A$3:$A$55=$A$9)*($B$3:$H$55=$L9))</f>
        <v>0</v>
      </c>
      <c r="P9" s="8">
        <f t="shared" si="2"/>
        <v>0</v>
      </c>
      <c r="Q9" s="34"/>
      <c r="R9" s="34" t="s">
        <v>186</v>
      </c>
      <c r="S9" s="17"/>
      <c r="T9" s="95" t="s">
        <v>186</v>
      </c>
      <c r="U9" s="8" t="s">
        <v>188</v>
      </c>
    </row>
    <row r="10">
      <c r="A10" s="96" t="s">
        <v>52</v>
      </c>
      <c r="B10" s="97"/>
      <c r="C10" s="87" t="s">
        <v>168</v>
      </c>
      <c r="D10" s="14" t="s">
        <v>16</v>
      </c>
      <c r="E10" s="87" t="s">
        <v>168</v>
      </c>
      <c r="F10" s="14" t="s">
        <v>16</v>
      </c>
      <c r="G10" s="87" t="s">
        <v>168</v>
      </c>
      <c r="H10" s="26" t="s">
        <v>35</v>
      </c>
      <c r="I10" s="8"/>
      <c r="K10" s="39" t="s">
        <v>189</v>
      </c>
      <c r="L10" s="33" t="s">
        <v>47</v>
      </c>
      <c r="M10" s="8">
        <f t="shared" si="1"/>
        <v>4</v>
      </c>
      <c r="N10" s="8">
        <f t="shared" si="3"/>
        <v>2</v>
      </c>
      <c r="O10" s="8">
        <f t="shared" si="4"/>
        <v>1</v>
      </c>
      <c r="P10" s="8">
        <f t="shared" si="2"/>
        <v>1</v>
      </c>
      <c r="Q10" s="8" t="s">
        <v>190</v>
      </c>
      <c r="R10" s="34">
        <f t="shared" ref="R10:R25" si="5">QUOTIENT(M10,4)</f>
        <v>1</v>
      </c>
      <c r="S10" s="17"/>
      <c r="T10" s="35">
        <f t="shared" ref="T10:T11" si="6">R10-S10</f>
        <v>1</v>
      </c>
      <c r="U10" s="8" t="s">
        <v>191</v>
      </c>
    </row>
    <row r="11">
      <c r="A11" s="4"/>
      <c r="B11" s="5">
        <v>46272.0</v>
      </c>
      <c r="C11" s="5">
        <v>46273.0</v>
      </c>
      <c r="D11" s="5">
        <v>46274.0</v>
      </c>
      <c r="E11" s="5">
        <v>46275.0</v>
      </c>
      <c r="F11" s="5">
        <v>46276.0</v>
      </c>
      <c r="G11" s="5">
        <v>46277.0</v>
      </c>
      <c r="H11" s="5">
        <v>46278.0</v>
      </c>
      <c r="I11" s="8"/>
      <c r="K11" s="39" t="s">
        <v>189</v>
      </c>
      <c r="L11" s="14" t="s">
        <v>16</v>
      </c>
      <c r="M11" s="8">
        <f t="shared" si="1"/>
        <v>12</v>
      </c>
      <c r="N11" s="8">
        <f t="shared" si="3"/>
        <v>4</v>
      </c>
      <c r="O11" s="8">
        <f t="shared" si="4"/>
        <v>5</v>
      </c>
      <c r="P11" s="8">
        <f t="shared" si="2"/>
        <v>3</v>
      </c>
      <c r="Q11" s="8" t="s">
        <v>192</v>
      </c>
      <c r="R11" s="34">
        <f t="shared" si="5"/>
        <v>3</v>
      </c>
      <c r="S11" s="17"/>
      <c r="T11" s="35">
        <f t="shared" si="6"/>
        <v>3</v>
      </c>
    </row>
    <row r="12">
      <c r="A12" s="18" t="s">
        <v>12</v>
      </c>
      <c r="B12" s="16" t="s">
        <v>20</v>
      </c>
      <c r="C12" s="12" t="s">
        <v>14</v>
      </c>
      <c r="D12" s="12" t="s">
        <v>14</v>
      </c>
      <c r="E12" s="12" t="s">
        <v>14</v>
      </c>
      <c r="F12" s="77" t="s">
        <v>133</v>
      </c>
      <c r="G12" s="33" t="s">
        <v>47</v>
      </c>
      <c r="H12" s="12" t="s">
        <v>14</v>
      </c>
      <c r="I12" s="8"/>
      <c r="K12" s="39" t="s">
        <v>189</v>
      </c>
      <c r="L12" s="30" t="s">
        <v>46</v>
      </c>
      <c r="M12" s="8">
        <f t="shared" si="1"/>
        <v>7</v>
      </c>
      <c r="N12" s="8">
        <f t="shared" si="3"/>
        <v>1</v>
      </c>
      <c r="O12" s="8">
        <f t="shared" si="4"/>
        <v>0</v>
      </c>
      <c r="P12" s="8">
        <f t="shared" si="2"/>
        <v>6</v>
      </c>
      <c r="Q12" s="34"/>
      <c r="R12" s="34">
        <f t="shared" si="5"/>
        <v>1</v>
      </c>
      <c r="U12" s="8" t="s">
        <v>193</v>
      </c>
      <c r="V12" s="8" t="s">
        <v>194</v>
      </c>
    </row>
    <row r="13">
      <c r="A13" s="10" t="s">
        <v>18</v>
      </c>
      <c r="D13" s="90"/>
      <c r="E13" s="90"/>
      <c r="F13" s="90"/>
      <c r="H13" s="98" t="s">
        <v>195</v>
      </c>
      <c r="K13" s="39" t="s">
        <v>189</v>
      </c>
      <c r="L13" s="13" t="s">
        <v>15</v>
      </c>
      <c r="M13" s="8">
        <f t="shared" si="1"/>
        <v>11</v>
      </c>
      <c r="N13" s="8">
        <f t="shared" si="3"/>
        <v>4</v>
      </c>
      <c r="O13" s="8">
        <f t="shared" si="4"/>
        <v>5</v>
      </c>
      <c r="P13" s="8">
        <f t="shared" si="2"/>
        <v>2</v>
      </c>
      <c r="Q13" s="8" t="s">
        <v>196</v>
      </c>
      <c r="R13" s="34">
        <f t="shared" si="5"/>
        <v>2</v>
      </c>
      <c r="S13" s="17"/>
      <c r="T13" s="35">
        <f t="shared" ref="T13:T23" si="7">R13-S13</f>
        <v>2</v>
      </c>
      <c r="U13" s="8"/>
    </row>
    <row r="14">
      <c r="A14" s="9" t="s">
        <v>22</v>
      </c>
      <c r="B14" s="18"/>
      <c r="C14" s="18"/>
      <c r="D14" s="18"/>
      <c r="E14" s="18"/>
      <c r="F14" s="18"/>
      <c r="G14" s="18"/>
      <c r="H14" s="18"/>
      <c r="K14" s="39" t="s">
        <v>189</v>
      </c>
      <c r="L14" s="26" t="s">
        <v>35</v>
      </c>
      <c r="M14" s="8">
        <f t="shared" si="1"/>
        <v>4</v>
      </c>
      <c r="N14" s="8">
        <f t="shared" si="3"/>
        <v>0</v>
      </c>
      <c r="O14" s="8">
        <f t="shared" si="4"/>
        <v>1</v>
      </c>
      <c r="P14" s="8">
        <f t="shared" si="2"/>
        <v>3</v>
      </c>
      <c r="Q14" s="8" t="s">
        <v>197</v>
      </c>
      <c r="R14" s="34">
        <f t="shared" si="5"/>
        <v>1</v>
      </c>
      <c r="S14" s="17"/>
      <c r="T14" s="35">
        <f t="shared" si="7"/>
        <v>1</v>
      </c>
    </row>
    <row r="15">
      <c r="A15" s="18" t="s">
        <v>180</v>
      </c>
      <c r="B15" s="92"/>
      <c r="C15" s="91"/>
      <c r="D15" s="91"/>
      <c r="E15" s="91"/>
      <c r="F15" s="91"/>
      <c r="G15" s="91"/>
      <c r="H15" s="92"/>
      <c r="K15" s="39" t="s">
        <v>189</v>
      </c>
      <c r="L15" s="21" t="s">
        <v>31</v>
      </c>
      <c r="M15" s="8">
        <f t="shared" si="1"/>
        <v>7</v>
      </c>
      <c r="N15" s="8">
        <f t="shared" si="3"/>
        <v>1</v>
      </c>
      <c r="O15" s="8">
        <f t="shared" si="4"/>
        <v>6</v>
      </c>
      <c r="P15" s="8">
        <f t="shared" si="2"/>
        <v>0</v>
      </c>
      <c r="Q15" s="8" t="s">
        <v>198</v>
      </c>
      <c r="R15" s="34">
        <f t="shared" si="5"/>
        <v>1</v>
      </c>
      <c r="S15" s="17"/>
      <c r="T15" s="35">
        <f t="shared" si="7"/>
        <v>1</v>
      </c>
    </row>
    <row r="16">
      <c r="A16" s="93" t="s">
        <v>26</v>
      </c>
      <c r="B16" s="94"/>
      <c r="C16" s="21" t="s">
        <v>31</v>
      </c>
      <c r="D16" s="87" t="s">
        <v>168</v>
      </c>
      <c r="E16" s="21" t="s">
        <v>31</v>
      </c>
      <c r="F16" s="21" t="s">
        <v>31</v>
      </c>
      <c r="G16" s="26" t="s">
        <v>35</v>
      </c>
      <c r="H16" s="88" t="s">
        <v>169</v>
      </c>
      <c r="K16" s="39" t="s">
        <v>37</v>
      </c>
      <c r="L16" s="31" t="s">
        <v>45</v>
      </c>
      <c r="M16" s="8">
        <f t="shared" si="1"/>
        <v>0</v>
      </c>
      <c r="N16" s="8">
        <f t="shared" si="3"/>
        <v>0</v>
      </c>
      <c r="O16" s="8">
        <f t="shared" si="4"/>
        <v>0</v>
      </c>
      <c r="P16" s="8">
        <f t="shared" si="2"/>
        <v>0</v>
      </c>
      <c r="Q16" s="34"/>
      <c r="R16" s="34">
        <f t="shared" si="5"/>
        <v>0</v>
      </c>
      <c r="S16" s="17"/>
      <c r="T16" s="35">
        <f t="shared" si="7"/>
        <v>0</v>
      </c>
    </row>
    <row r="17">
      <c r="A17" s="93" t="s">
        <v>43</v>
      </c>
      <c r="B17" s="14" t="s">
        <v>16</v>
      </c>
      <c r="C17" s="33" t="s">
        <v>47</v>
      </c>
      <c r="D17" s="13" t="s">
        <v>15</v>
      </c>
      <c r="E17" s="76" t="s">
        <v>122</v>
      </c>
      <c r="F17" s="13" t="s">
        <v>15</v>
      </c>
      <c r="G17" s="94"/>
      <c r="K17" s="39" t="s">
        <v>37</v>
      </c>
      <c r="L17" s="24" t="s">
        <v>33</v>
      </c>
      <c r="M17" s="8">
        <f t="shared" si="1"/>
        <v>0</v>
      </c>
      <c r="N17" s="8">
        <f t="shared" si="3"/>
        <v>0</v>
      </c>
      <c r="O17" s="8">
        <f t="shared" si="4"/>
        <v>0</v>
      </c>
      <c r="P17" s="8">
        <f t="shared" si="2"/>
        <v>0</v>
      </c>
      <c r="Q17" s="8" t="s">
        <v>199</v>
      </c>
      <c r="R17" s="34">
        <f t="shared" si="5"/>
        <v>0</v>
      </c>
      <c r="S17" s="17"/>
      <c r="T17" s="35">
        <f t="shared" si="7"/>
        <v>0</v>
      </c>
      <c r="U17" s="8" t="s">
        <v>200</v>
      </c>
    </row>
    <row r="18" ht="20.25" customHeight="1">
      <c r="A18" s="93" t="s">
        <v>48</v>
      </c>
      <c r="B18" s="94"/>
      <c r="C18" s="98" t="s">
        <v>195</v>
      </c>
      <c r="D18" s="94"/>
      <c r="E18" s="98" t="s">
        <v>195</v>
      </c>
      <c r="F18" s="94"/>
      <c r="G18" s="94"/>
      <c r="H18" s="94"/>
      <c r="K18" s="39" t="s">
        <v>189</v>
      </c>
      <c r="L18" s="45" t="s">
        <v>67</v>
      </c>
      <c r="M18" s="8">
        <f t="shared" si="1"/>
        <v>1</v>
      </c>
      <c r="N18" s="8">
        <f t="shared" si="3"/>
        <v>0</v>
      </c>
      <c r="O18" s="8">
        <f t="shared" si="4"/>
        <v>1</v>
      </c>
      <c r="P18" s="8">
        <f t="shared" si="2"/>
        <v>0</v>
      </c>
      <c r="Q18" s="34"/>
      <c r="R18" s="34">
        <f t="shared" si="5"/>
        <v>0</v>
      </c>
      <c r="S18" s="17"/>
      <c r="T18" s="35">
        <f t="shared" si="7"/>
        <v>0</v>
      </c>
      <c r="U18" s="78"/>
    </row>
    <row r="19">
      <c r="A19" s="96" t="s">
        <v>52</v>
      </c>
      <c r="B19" s="13" t="s">
        <v>15</v>
      </c>
      <c r="C19" s="30" t="s">
        <v>46</v>
      </c>
      <c r="D19" s="33" t="s">
        <v>47</v>
      </c>
      <c r="E19" s="30" t="s">
        <v>46</v>
      </c>
      <c r="F19" s="76" t="s">
        <v>122</v>
      </c>
      <c r="G19" s="30" t="s">
        <v>46</v>
      </c>
      <c r="H19" s="76" t="s">
        <v>122</v>
      </c>
      <c r="K19" s="39" t="s">
        <v>37</v>
      </c>
      <c r="L19" s="16" t="s">
        <v>20</v>
      </c>
      <c r="M19" s="8">
        <f t="shared" si="1"/>
        <v>2</v>
      </c>
      <c r="N19" s="8">
        <f t="shared" si="3"/>
        <v>1</v>
      </c>
      <c r="O19" s="8">
        <f t="shared" si="4"/>
        <v>1</v>
      </c>
      <c r="P19" s="8">
        <f t="shared" si="2"/>
        <v>0</v>
      </c>
      <c r="Q19" s="34"/>
      <c r="R19" s="34">
        <f t="shared" si="5"/>
        <v>0</v>
      </c>
      <c r="S19" s="17"/>
      <c r="T19" s="35">
        <f t="shared" si="7"/>
        <v>0</v>
      </c>
      <c r="U19" s="8"/>
    </row>
    <row r="20">
      <c r="A20" s="4"/>
      <c r="B20" s="5">
        <v>46279.0</v>
      </c>
      <c r="C20" s="5">
        <v>46280.0</v>
      </c>
      <c r="D20" s="5">
        <v>46281.0</v>
      </c>
      <c r="E20" s="5">
        <v>46282.0</v>
      </c>
      <c r="F20" s="5">
        <v>46283.0</v>
      </c>
      <c r="G20" s="5">
        <v>46284.0</v>
      </c>
      <c r="H20" s="5">
        <v>46285.0</v>
      </c>
      <c r="K20" s="39" t="s">
        <v>189</v>
      </c>
      <c r="L20" s="76" t="s">
        <v>122</v>
      </c>
      <c r="M20" s="8">
        <f t="shared" si="1"/>
        <v>7</v>
      </c>
      <c r="N20" s="8">
        <f t="shared" si="3"/>
        <v>0</v>
      </c>
      <c r="O20" s="8">
        <f t="shared" si="4"/>
        <v>3</v>
      </c>
      <c r="P20" s="8">
        <f t="shared" si="2"/>
        <v>4</v>
      </c>
      <c r="Q20" s="34"/>
      <c r="R20" s="34">
        <f t="shared" si="5"/>
        <v>1</v>
      </c>
      <c r="S20" s="34">
        <v>1.0</v>
      </c>
      <c r="T20" s="35">
        <f t="shared" si="7"/>
        <v>0</v>
      </c>
    </row>
    <row r="21">
      <c r="A21" s="18" t="s">
        <v>12</v>
      </c>
      <c r="B21" s="12" t="s">
        <v>14</v>
      </c>
      <c r="C21" s="77" t="s">
        <v>133</v>
      </c>
      <c r="D21" s="13" t="s">
        <v>15</v>
      </c>
      <c r="E21" s="12" t="s">
        <v>14</v>
      </c>
      <c r="F21" s="13" t="s">
        <v>15</v>
      </c>
      <c r="G21" s="12" t="s">
        <v>14</v>
      </c>
      <c r="H21" s="12" t="s">
        <v>14</v>
      </c>
      <c r="K21" s="39" t="s">
        <v>189</v>
      </c>
      <c r="L21" s="77" t="s">
        <v>133</v>
      </c>
      <c r="M21" s="8">
        <f t="shared" si="1"/>
        <v>2</v>
      </c>
      <c r="N21" s="8">
        <f t="shared" si="3"/>
        <v>2</v>
      </c>
      <c r="O21" s="8">
        <f t="shared" si="4"/>
        <v>0</v>
      </c>
      <c r="P21" s="8">
        <f t="shared" si="2"/>
        <v>0</v>
      </c>
      <c r="Q21" s="8" t="s">
        <v>201</v>
      </c>
      <c r="R21" s="34">
        <f t="shared" si="5"/>
        <v>0</v>
      </c>
      <c r="S21" s="17"/>
      <c r="T21" s="35">
        <f t="shared" si="7"/>
        <v>0</v>
      </c>
    </row>
    <row r="22">
      <c r="A22" s="18" t="s">
        <v>18</v>
      </c>
      <c r="B22" s="90"/>
      <c r="C22" s="12" t="s">
        <v>14</v>
      </c>
      <c r="D22" s="90"/>
      <c r="E22" s="98" t="s">
        <v>195</v>
      </c>
      <c r="F22" s="90"/>
      <c r="G22" s="90"/>
      <c r="H22" s="90"/>
      <c r="K22" s="39" t="s">
        <v>189</v>
      </c>
      <c r="L22" s="87" t="s">
        <v>168</v>
      </c>
      <c r="M22" s="8">
        <f t="shared" si="1"/>
        <v>16</v>
      </c>
      <c r="N22" s="8">
        <f t="shared" si="3"/>
        <v>0</v>
      </c>
      <c r="O22" s="8">
        <v>9.0</v>
      </c>
      <c r="P22" s="8">
        <f t="shared" si="2"/>
        <v>7</v>
      </c>
      <c r="Q22" s="8" t="s">
        <v>202</v>
      </c>
      <c r="R22" s="34">
        <f t="shared" si="5"/>
        <v>4</v>
      </c>
      <c r="S22" s="17"/>
      <c r="T22" s="35">
        <f t="shared" si="7"/>
        <v>4</v>
      </c>
    </row>
    <row r="23">
      <c r="A23" s="9" t="s">
        <v>22</v>
      </c>
      <c r="B23" s="18" t="s">
        <v>203</v>
      </c>
      <c r="C23" s="18" t="s">
        <v>204</v>
      </c>
      <c r="D23" s="18"/>
      <c r="E23" s="18" t="s">
        <v>205</v>
      </c>
      <c r="F23" s="18"/>
      <c r="G23" s="18" t="s">
        <v>206</v>
      </c>
      <c r="H23" s="18" t="s">
        <v>207</v>
      </c>
      <c r="K23" s="39" t="s">
        <v>189</v>
      </c>
      <c r="L23" s="99" t="s">
        <v>208</v>
      </c>
      <c r="M23" s="8">
        <f t="shared" si="1"/>
        <v>1</v>
      </c>
      <c r="N23" s="8">
        <f t="shared" si="3"/>
        <v>0</v>
      </c>
      <c r="O23" s="8">
        <f t="shared" ref="O23:O25" si="8">SUMPRODUCT(($A$3:$A$55=$A$7)*($B$3:$H$55=$L23))+SUMPRODUCT(($A$3:$A$55=$A$8)*($B$3:$H$55=$L23))+SUMPRODUCT(($A$3:$A$55=$A$9)*($B$3:$H$55=$L23))</f>
        <v>1</v>
      </c>
      <c r="P23" s="8">
        <f t="shared" si="2"/>
        <v>0</v>
      </c>
      <c r="Q23" s="34"/>
      <c r="R23" s="34">
        <f t="shared" si="5"/>
        <v>0</v>
      </c>
      <c r="T23" s="35">
        <f t="shared" si="7"/>
        <v>0</v>
      </c>
    </row>
    <row r="24">
      <c r="A24" s="18" t="s">
        <v>180</v>
      </c>
      <c r="B24" s="91"/>
      <c r="C24" s="91"/>
      <c r="D24" s="91"/>
      <c r="E24" s="91"/>
      <c r="F24" s="91"/>
      <c r="G24" s="91"/>
      <c r="H24" s="91"/>
      <c r="K24" s="39" t="s">
        <v>187</v>
      </c>
      <c r="L24" s="88" t="s">
        <v>169</v>
      </c>
      <c r="M24" s="8">
        <f t="shared" si="1"/>
        <v>6</v>
      </c>
      <c r="N24" s="8">
        <f t="shared" si="3"/>
        <v>1</v>
      </c>
      <c r="O24" s="8">
        <f t="shared" si="8"/>
        <v>4</v>
      </c>
      <c r="P24" s="8">
        <f t="shared" si="2"/>
        <v>1</v>
      </c>
      <c r="Q24" s="34"/>
      <c r="R24" s="34">
        <f t="shared" si="5"/>
        <v>1</v>
      </c>
      <c r="T24" s="35"/>
      <c r="U24" s="8" t="s">
        <v>209</v>
      </c>
    </row>
    <row r="25">
      <c r="A25" s="93" t="s">
        <v>26</v>
      </c>
      <c r="B25" s="87" t="s">
        <v>168</v>
      </c>
      <c r="C25" s="99" t="s">
        <v>208</v>
      </c>
      <c r="D25" s="16" t="s">
        <v>20</v>
      </c>
      <c r="E25" s="21" t="s">
        <v>31</v>
      </c>
      <c r="F25" s="99" t="s">
        <v>208</v>
      </c>
      <c r="G25" s="99" t="s">
        <v>208</v>
      </c>
      <c r="H25" s="99" t="s">
        <v>208</v>
      </c>
      <c r="I25" s="8" t="s">
        <v>0</v>
      </c>
      <c r="K25" s="39" t="s">
        <v>210</v>
      </c>
      <c r="L25" s="98" t="s">
        <v>195</v>
      </c>
      <c r="M25" s="8">
        <f t="shared" si="1"/>
        <v>4</v>
      </c>
      <c r="N25" s="8">
        <f t="shared" si="3"/>
        <v>2</v>
      </c>
      <c r="O25" s="8">
        <f t="shared" si="8"/>
        <v>2</v>
      </c>
      <c r="P25" s="8">
        <f t="shared" si="2"/>
        <v>0</v>
      </c>
      <c r="Q25" s="34"/>
      <c r="R25" s="34">
        <f t="shared" si="5"/>
        <v>1</v>
      </c>
      <c r="T25" s="35"/>
    </row>
    <row r="26">
      <c r="A26" s="93" t="s">
        <v>43</v>
      </c>
      <c r="B26" s="14" t="s">
        <v>16</v>
      </c>
      <c r="C26" s="45" t="s">
        <v>67</v>
      </c>
      <c r="D26" s="87" t="s">
        <v>168</v>
      </c>
      <c r="E26" s="76" t="s">
        <v>122</v>
      </c>
      <c r="F26" s="87" t="s">
        <v>168</v>
      </c>
      <c r="G26" s="88" t="s">
        <v>169</v>
      </c>
      <c r="H26" s="88" t="s">
        <v>169</v>
      </c>
      <c r="I26" s="8" t="s">
        <v>0</v>
      </c>
    </row>
    <row r="27">
      <c r="A27" s="93" t="s">
        <v>48</v>
      </c>
      <c r="B27" s="94"/>
      <c r="C27" s="94"/>
      <c r="D27" s="94"/>
      <c r="E27" s="94"/>
      <c r="F27" s="94"/>
      <c r="G27" s="94"/>
      <c r="H27" s="94"/>
      <c r="I27" s="8" t="s">
        <v>0</v>
      </c>
      <c r="J27" s="8"/>
      <c r="T27" s="35"/>
    </row>
    <row r="28">
      <c r="A28" s="96" t="s">
        <v>52</v>
      </c>
      <c r="B28" s="13" t="s">
        <v>15</v>
      </c>
      <c r="C28" s="30" t="s">
        <v>46</v>
      </c>
      <c r="D28" s="87" t="s">
        <v>168</v>
      </c>
      <c r="E28" s="30" t="s">
        <v>46</v>
      </c>
      <c r="F28" s="87" t="s">
        <v>168</v>
      </c>
      <c r="G28" s="88" t="s">
        <v>169</v>
      </c>
      <c r="H28" s="76" t="s">
        <v>122</v>
      </c>
      <c r="K28" s="32"/>
      <c r="T28" s="35"/>
    </row>
    <row r="29">
      <c r="A29" s="4"/>
      <c r="B29" s="5">
        <v>46286.0</v>
      </c>
      <c r="C29" s="5">
        <v>46287.0</v>
      </c>
      <c r="D29" s="5">
        <v>46288.0</v>
      </c>
      <c r="E29" s="5">
        <v>46289.0</v>
      </c>
      <c r="F29" s="5">
        <v>46290.0</v>
      </c>
      <c r="G29" s="5">
        <v>46291.0</v>
      </c>
      <c r="H29" s="5">
        <v>46292.0</v>
      </c>
      <c r="I29" s="55"/>
      <c r="T29" s="35"/>
      <c r="V29" s="56"/>
      <c r="W29" s="56"/>
    </row>
    <row r="30">
      <c r="A30" s="18" t="s">
        <v>12</v>
      </c>
      <c r="B30" s="14" t="s">
        <v>16</v>
      </c>
      <c r="C30" s="12" t="s">
        <v>14</v>
      </c>
      <c r="D30" s="14" t="s">
        <v>16</v>
      </c>
      <c r="E30" s="12" t="s">
        <v>14</v>
      </c>
      <c r="F30" s="13" t="s">
        <v>15</v>
      </c>
      <c r="G30" s="30" t="s">
        <v>46</v>
      </c>
      <c r="H30" s="12" t="s">
        <v>14</v>
      </c>
      <c r="J30" s="8"/>
      <c r="K30" s="58"/>
      <c r="L30" s="59"/>
      <c r="M30" s="59"/>
      <c r="N30" s="59"/>
      <c r="O30" s="59"/>
      <c r="P30" s="59"/>
      <c r="Q30" s="59"/>
      <c r="R30" s="59"/>
      <c r="S30" s="59"/>
      <c r="T30" s="60"/>
      <c r="AC30" s="57"/>
    </row>
    <row r="31">
      <c r="A31" s="18" t="s">
        <v>18</v>
      </c>
      <c r="B31" s="90"/>
      <c r="C31" s="90"/>
      <c r="D31" s="90"/>
      <c r="E31" s="90"/>
      <c r="F31" s="90"/>
      <c r="G31" s="90"/>
      <c r="H31" s="90"/>
    </row>
    <row r="32">
      <c r="A32" s="9" t="s">
        <v>22</v>
      </c>
      <c r="B32" s="18"/>
      <c r="C32" s="18"/>
      <c r="D32" s="18"/>
      <c r="E32" s="18" t="s">
        <v>211</v>
      </c>
      <c r="F32" s="18"/>
      <c r="G32" s="18"/>
      <c r="H32" s="18"/>
      <c r="I32" s="55"/>
      <c r="L32" s="8" t="s">
        <v>174</v>
      </c>
    </row>
    <row r="33">
      <c r="A33" s="18" t="s">
        <v>180</v>
      </c>
      <c r="B33" s="91"/>
      <c r="C33" s="91"/>
      <c r="D33" s="91"/>
      <c r="E33" s="91"/>
      <c r="F33" s="91"/>
      <c r="G33" s="91"/>
      <c r="H33" s="91"/>
      <c r="I33" s="55"/>
      <c r="L33" s="8"/>
    </row>
    <row r="34">
      <c r="A34" s="93" t="s">
        <v>26</v>
      </c>
      <c r="B34" s="87" t="s">
        <v>168</v>
      </c>
      <c r="C34" s="21" t="s">
        <v>31</v>
      </c>
      <c r="D34" s="45" t="s">
        <v>67</v>
      </c>
      <c r="E34" s="16" t="s">
        <v>20</v>
      </c>
      <c r="F34" s="77" t="s">
        <v>133</v>
      </c>
      <c r="G34" s="45" t="s">
        <v>67</v>
      </c>
      <c r="H34" s="99" t="s">
        <v>208</v>
      </c>
      <c r="I34" s="55"/>
      <c r="L34" s="8" t="s">
        <v>160</v>
      </c>
    </row>
    <row r="35">
      <c r="A35" s="93" t="s">
        <v>43</v>
      </c>
      <c r="B35" s="99" t="s">
        <v>208</v>
      </c>
      <c r="C35" s="14" t="s">
        <v>16</v>
      </c>
      <c r="D35" s="87" t="s">
        <v>168</v>
      </c>
      <c r="E35" s="21" t="s">
        <v>31</v>
      </c>
      <c r="F35" s="21" t="s">
        <v>31</v>
      </c>
      <c r="G35" s="26" t="s">
        <v>35</v>
      </c>
      <c r="H35" s="13" t="s">
        <v>15</v>
      </c>
      <c r="I35" s="55"/>
    </row>
    <row r="36">
      <c r="A36" s="93" t="s">
        <v>48</v>
      </c>
      <c r="B36" s="76" t="s">
        <v>122</v>
      </c>
      <c r="C36" s="94"/>
      <c r="D36" s="94"/>
      <c r="E36" s="94"/>
      <c r="F36" s="94"/>
      <c r="G36" s="94"/>
      <c r="H36" s="94"/>
      <c r="I36" s="55"/>
    </row>
    <row r="37">
      <c r="A37" s="96" t="s">
        <v>52</v>
      </c>
      <c r="B37" s="87" t="s">
        <v>168</v>
      </c>
      <c r="C37" s="12" t="s">
        <v>14</v>
      </c>
      <c r="D37" s="87" t="s">
        <v>168</v>
      </c>
      <c r="E37" s="12" t="s">
        <v>14</v>
      </c>
      <c r="F37" s="12" t="s">
        <v>14</v>
      </c>
      <c r="G37" s="14" t="s">
        <v>16</v>
      </c>
      <c r="H37" s="26" t="s">
        <v>35</v>
      </c>
    </row>
    <row r="38">
      <c r="A38" s="4"/>
      <c r="B38" s="5">
        <v>46293.0</v>
      </c>
      <c r="C38" s="5">
        <v>46294.0</v>
      </c>
      <c r="D38" s="5">
        <v>46295.0</v>
      </c>
      <c r="E38" s="5"/>
      <c r="F38" s="5"/>
      <c r="G38" s="5"/>
      <c r="H38" s="5"/>
      <c r="I38" s="61"/>
    </row>
    <row r="39">
      <c r="A39" s="18" t="s">
        <v>12</v>
      </c>
      <c r="B39" s="12" t="s">
        <v>14</v>
      </c>
      <c r="C39" s="33" t="s">
        <v>47</v>
      </c>
      <c r="D39" s="14" t="s">
        <v>16</v>
      </c>
      <c r="E39" s="90"/>
      <c r="F39" s="90"/>
      <c r="G39" s="90"/>
      <c r="H39" s="90"/>
    </row>
    <row r="40">
      <c r="A40" s="18" t="s">
        <v>18</v>
      </c>
      <c r="B40" s="90"/>
      <c r="C40" s="90"/>
      <c r="D40" s="90"/>
      <c r="E40" s="90"/>
      <c r="F40" s="90"/>
      <c r="G40" s="90"/>
      <c r="H40" s="90"/>
    </row>
    <row r="41">
      <c r="A41" s="9" t="s">
        <v>22</v>
      </c>
      <c r="B41" s="18"/>
      <c r="C41" s="18"/>
      <c r="D41" s="18"/>
      <c r="E41" s="18"/>
      <c r="F41" s="18"/>
      <c r="G41" s="18"/>
      <c r="H41" s="18"/>
    </row>
    <row r="42">
      <c r="A42" s="18" t="s">
        <v>180</v>
      </c>
      <c r="B42" s="92"/>
      <c r="C42" s="91"/>
      <c r="D42" s="91"/>
      <c r="E42" s="18"/>
      <c r="F42" s="18"/>
      <c r="G42" s="18"/>
      <c r="H42" s="18"/>
    </row>
    <row r="43">
      <c r="A43" s="93" t="s">
        <v>26</v>
      </c>
      <c r="B43" s="76" t="s">
        <v>122</v>
      </c>
      <c r="C43" s="99" t="s">
        <v>208</v>
      </c>
      <c r="D43" s="45" t="s">
        <v>67</v>
      </c>
      <c r="E43" s="94"/>
      <c r="F43" s="94"/>
      <c r="G43" s="94"/>
      <c r="H43" s="94"/>
    </row>
    <row r="44">
      <c r="A44" s="93" t="s">
        <v>43</v>
      </c>
      <c r="B44" s="14" t="s">
        <v>16</v>
      </c>
      <c r="C44" s="21" t="s">
        <v>31</v>
      </c>
      <c r="D44" s="21" t="s">
        <v>31</v>
      </c>
      <c r="E44" s="94"/>
      <c r="F44" s="94"/>
      <c r="G44" s="94"/>
      <c r="H44" s="94"/>
    </row>
    <row r="45">
      <c r="A45" s="93" t="s">
        <v>48</v>
      </c>
      <c r="B45" s="94"/>
      <c r="C45" s="94"/>
      <c r="D45" s="94"/>
      <c r="E45" s="94"/>
      <c r="F45" s="94"/>
      <c r="G45" s="94"/>
      <c r="H45" s="94"/>
      <c r="I45" s="8"/>
    </row>
    <row r="46">
      <c r="A46" s="96" t="s">
        <v>52</v>
      </c>
      <c r="B46" s="76" t="s">
        <v>122</v>
      </c>
      <c r="C46" s="30" t="s">
        <v>46</v>
      </c>
      <c r="D46" s="26" t="s">
        <v>35</v>
      </c>
      <c r="E46" s="97"/>
      <c r="F46" s="97"/>
      <c r="G46" s="97"/>
      <c r="H46" s="97"/>
      <c r="I46" s="8"/>
    </row>
    <row r="47">
      <c r="A47" s="4"/>
      <c r="B47" s="5"/>
      <c r="C47" s="5"/>
      <c r="D47" s="5"/>
      <c r="E47" s="5"/>
      <c r="F47" s="5"/>
      <c r="G47" s="5"/>
      <c r="H47" s="5"/>
      <c r="I47" s="61"/>
    </row>
    <row r="48">
      <c r="A48" s="9" t="s">
        <v>12</v>
      </c>
      <c r="B48" s="90"/>
      <c r="C48" s="90"/>
      <c r="D48" s="90"/>
      <c r="E48" s="90"/>
      <c r="F48" s="90"/>
      <c r="G48" s="90"/>
      <c r="H48" s="90"/>
      <c r="I48" s="61"/>
    </row>
    <row r="49">
      <c r="A49" s="9" t="s">
        <v>18</v>
      </c>
      <c r="B49" s="90"/>
      <c r="C49" s="90"/>
      <c r="D49" s="90"/>
      <c r="E49" s="90"/>
      <c r="F49" s="90"/>
      <c r="G49" s="90"/>
      <c r="H49" s="90"/>
      <c r="I49" s="61"/>
    </row>
    <row r="50">
      <c r="A50" s="9" t="s">
        <v>22</v>
      </c>
      <c r="B50" s="18"/>
      <c r="C50" s="18"/>
      <c r="D50" s="18"/>
      <c r="E50" s="18"/>
      <c r="F50" s="18"/>
      <c r="G50" s="18"/>
      <c r="H50" s="18"/>
      <c r="I50" s="61"/>
    </row>
    <row r="51">
      <c r="A51" s="18" t="s">
        <v>180</v>
      </c>
      <c r="B51" s="18"/>
      <c r="C51" s="18"/>
      <c r="D51" s="18"/>
      <c r="E51" s="18"/>
      <c r="F51" s="18"/>
      <c r="G51" s="18"/>
      <c r="H51" s="18"/>
      <c r="I51" s="61"/>
    </row>
    <row r="52">
      <c r="A52" s="93" t="s">
        <v>26</v>
      </c>
      <c r="B52" s="94"/>
      <c r="C52" s="94"/>
      <c r="D52" s="94"/>
      <c r="E52" s="94"/>
      <c r="F52" s="94"/>
      <c r="G52" s="94"/>
      <c r="H52" s="94"/>
    </row>
    <row r="53">
      <c r="A53" s="93" t="s">
        <v>43</v>
      </c>
      <c r="B53" s="94"/>
      <c r="C53" s="94"/>
      <c r="D53" s="94"/>
      <c r="E53" s="94"/>
      <c r="F53" s="94"/>
      <c r="G53" s="94"/>
      <c r="H53" s="94"/>
    </row>
    <row r="54">
      <c r="A54" s="93" t="s">
        <v>48</v>
      </c>
      <c r="B54" s="94"/>
      <c r="C54" s="94"/>
      <c r="D54" s="94"/>
      <c r="E54" s="94"/>
      <c r="F54" s="94"/>
      <c r="G54" s="94"/>
      <c r="H54" s="94"/>
      <c r="I54" s="65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</row>
    <row r="55">
      <c r="A55" s="96" t="s">
        <v>52</v>
      </c>
      <c r="B55" s="97"/>
      <c r="C55" s="97"/>
      <c r="D55" s="97"/>
      <c r="E55" s="97"/>
      <c r="F55" s="97"/>
      <c r="G55" s="97"/>
      <c r="H55" s="97"/>
      <c r="I55" s="65"/>
      <c r="J55" s="65"/>
      <c r="K55" s="65"/>
      <c r="S55" s="65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</row>
    <row r="56">
      <c r="I56" s="65"/>
      <c r="J56" s="65"/>
      <c r="K56" s="65"/>
      <c r="S56" s="65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</row>
    <row r="57">
      <c r="S57" s="65"/>
    </row>
    <row r="58">
      <c r="I58" s="67"/>
      <c r="J58" s="68"/>
      <c r="K58" s="68"/>
      <c r="T58" s="69"/>
    </row>
    <row r="59">
      <c r="I59" s="61"/>
      <c r="J59" s="61"/>
      <c r="K59" s="61"/>
      <c r="T59" s="69"/>
    </row>
    <row r="60">
      <c r="I60" s="61"/>
      <c r="J60" s="61"/>
      <c r="K60" s="61"/>
      <c r="T60" s="69"/>
    </row>
    <row r="61">
      <c r="I61" s="61"/>
      <c r="J61" s="61"/>
      <c r="K61" s="61"/>
      <c r="T61" s="69"/>
    </row>
    <row r="62">
      <c r="I62" s="70"/>
      <c r="J62" s="70"/>
      <c r="K62" s="70"/>
      <c r="T62" s="69"/>
    </row>
    <row r="63">
      <c r="I63" s="71"/>
      <c r="J63" s="71"/>
      <c r="K63" s="71"/>
      <c r="T63" s="69"/>
    </row>
    <row r="64">
      <c r="I64" s="72"/>
      <c r="J64" s="72"/>
      <c r="K64" s="72"/>
      <c r="L64" s="71"/>
      <c r="T64" s="69"/>
    </row>
    <row r="65">
      <c r="L65" s="71"/>
      <c r="T65" s="69"/>
    </row>
    <row r="67">
      <c r="S67" s="73"/>
      <c r="T67" s="73"/>
    </row>
    <row r="68">
      <c r="S68" s="73"/>
      <c r="T68" s="73"/>
    </row>
    <row r="69">
      <c r="S69" s="73"/>
      <c r="T69" s="73"/>
    </row>
    <row r="72">
      <c r="I72" s="8" t="s">
        <v>109</v>
      </c>
      <c r="J72" s="8"/>
      <c r="K72" s="8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F83" s="75"/>
    </row>
    <row r="84"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E90" s="66"/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  <row r="1011">
      <c r="F1011" s="75"/>
    </row>
    <row r="1012">
      <c r="F1012" s="75"/>
    </row>
    <row r="1013">
      <c r="F1013" s="75"/>
    </row>
    <row r="1014">
      <c r="F1014" s="75"/>
    </row>
    <row r="1015">
      <c r="F1015" s="75"/>
    </row>
    <row r="1016">
      <c r="F1016" s="75"/>
    </row>
    <row r="1017">
      <c r="F1017" s="75"/>
    </row>
    <row r="1018">
      <c r="F1018" s="75"/>
    </row>
    <row r="1019">
      <c r="F1019" s="75"/>
    </row>
    <row r="1020">
      <c r="F1020" s="75"/>
    </row>
    <row r="1021">
      <c r="F1021" s="75"/>
    </row>
    <row r="1022">
      <c r="F1022" s="75"/>
    </row>
    <row r="1023">
      <c r="F1023" s="75"/>
    </row>
    <row r="1024">
      <c r="F1024" s="75"/>
    </row>
  </sheetData>
  <mergeCells count="3">
    <mergeCell ref="M72:S72"/>
    <mergeCell ref="M73:R73"/>
    <mergeCell ref="M74:R74"/>
  </mergeCells>
  <conditionalFormatting sqref="B3 B7:B8 H8 B10 E43:H44 E46:H46">
    <cfRule type="cellIs" dxfId="2" priority="1" stopIfTrue="1" operator="equal">
      <formula>"⚠ NEED STAFF"</formula>
    </cfRule>
  </conditionalFormatting>
  <conditionalFormatting sqref="B2:H2 B11:H11 B20:H20 B29:H29 B38:H38 B47:H47">
    <cfRule type="expression" dxfId="0" priority="2">
      <formula>AND(TRUNC(B2)&gt;=EDATE(TODAY(),-12)+1,TRUNC(B2)&lt;=TODAY())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